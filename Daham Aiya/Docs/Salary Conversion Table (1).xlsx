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hak\Documents\Shantha\Salary Revision 2025\"/>
    </mc:Choice>
  </mc:AlternateContent>
  <bookViews>
    <workbookView minimized="1" xWindow="0" yWindow="0" windowWidth="20490" windowHeight="7650" firstSheet="3" activeTab="7"/>
  </bookViews>
  <sheets>
    <sheet name="PL 1 -2025- G III" sheetId="1" r:id="rId1"/>
    <sheet name="PL  1 -2025- G II" sheetId="2" r:id="rId2"/>
    <sheet name="PL 1 -2025- G I" sheetId="3" r:id="rId3"/>
    <sheet name="PL 2 -2025- G III" sheetId="4" r:id="rId4"/>
    <sheet name="PL 2 -2025- G II" sheetId="5" r:id="rId5"/>
    <sheet name="PL 2 -2025- G I" sheetId="6" r:id="rId6"/>
    <sheet name="PL 3 -2025 - G III" sheetId="7" r:id="rId7"/>
    <sheet name="PL 3 -2025- G II" sheetId="8" r:id="rId8"/>
    <sheet name="PL 3 -2025- G I" sheetId="9" r:id="rId9"/>
    <sheet name="MA 1 - 1- G II" sheetId="10" r:id="rId10"/>
    <sheet name="MA 2 -2-G III" sheetId="11" r:id="rId11"/>
    <sheet name="MA 2 -2-G II" sheetId="12" r:id="rId12"/>
    <sheet name="MA 2 -2-G I" sheetId="13" r:id="rId13"/>
    <sheet name="MA 1-2-G III" sheetId="14" r:id="rId14"/>
    <sheet name="MA1-2 G II" sheetId="15" r:id="rId15"/>
    <sheet name="MA 1-2-G I" sheetId="16" r:id="rId16"/>
    <sheet name="JM 1-2-G II" sheetId="17" r:id="rId17"/>
    <sheet name="JM 1-2-G I" sheetId="18" r:id="rId18"/>
    <sheet name="MM 1-1-G II" sheetId="19" r:id="rId19"/>
    <sheet name="MM 1-1-G I" sheetId="20" r:id="rId20"/>
    <sheet name="HM-1-1" sheetId="21" r:id="rId21"/>
    <sheet name="HM1-3" sheetId="22" r:id="rId22"/>
    <sheet name="HM 2-1" sheetId="23" r:id="rId23"/>
    <sheet name="HM 2-3" sheetId="24" r:id="rId2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8" l="1"/>
  <c r="C24" i="8"/>
  <c r="D24" i="8" s="1"/>
  <c r="E24" i="8"/>
  <c r="H24" i="8"/>
  <c r="B25" i="8"/>
  <c r="C25" i="8"/>
  <c r="D25" i="8" s="1"/>
  <c r="E25" i="8"/>
  <c r="H25" i="8"/>
  <c r="B26" i="8"/>
  <c r="C26" i="8"/>
  <c r="D26" i="8" s="1"/>
  <c r="E26" i="8"/>
  <c r="H26" i="8"/>
  <c r="B27" i="8"/>
  <c r="C27" i="8"/>
  <c r="D27" i="8" s="1"/>
  <c r="E27" i="8"/>
  <c r="H27" i="8"/>
  <c r="B28" i="8"/>
  <c r="C28" i="8"/>
  <c r="D28" i="8" s="1"/>
  <c r="E28" i="8"/>
  <c r="H28" i="8"/>
  <c r="B29" i="8"/>
  <c r="C29" i="8"/>
  <c r="D29" i="8" s="1"/>
  <c r="E29" i="8"/>
  <c r="H29" i="8"/>
  <c r="B20" i="8"/>
  <c r="C20" i="8"/>
  <c r="D20" i="8" s="1"/>
  <c r="E20" i="8"/>
  <c r="H20" i="8"/>
  <c r="B21" i="8"/>
  <c r="C21" i="8"/>
  <c r="D21" i="8" s="1"/>
  <c r="E21" i="8"/>
  <c r="H21" i="8"/>
  <c r="B22" i="8"/>
  <c r="C22" i="8"/>
  <c r="D22" i="8" s="1"/>
  <c r="E22" i="8"/>
  <c r="H22" i="8"/>
  <c r="B23" i="8"/>
  <c r="C23" i="8"/>
  <c r="D23" i="8" s="1"/>
  <c r="E23" i="8"/>
  <c r="H23" i="8"/>
  <c r="B35" i="7"/>
  <c r="C35" i="7"/>
  <c r="D35" i="7" s="1"/>
  <c r="E35" i="7"/>
  <c r="H35" i="7"/>
  <c r="B36" i="7"/>
  <c r="C36" i="7"/>
  <c r="D36" i="7" s="1"/>
  <c r="E36" i="7"/>
  <c r="H36" i="7"/>
  <c r="B37" i="7"/>
  <c r="C37" i="7"/>
  <c r="D37" i="7" s="1"/>
  <c r="E37" i="7"/>
  <c r="H37" i="7"/>
  <c r="B38" i="7"/>
  <c r="C38" i="7"/>
  <c r="D38" i="7" s="1"/>
  <c r="E38" i="7"/>
  <c r="H38" i="7"/>
  <c r="B39" i="7"/>
  <c r="C39" i="7"/>
  <c r="D39" i="7" s="1"/>
  <c r="E39" i="7"/>
  <c r="H39" i="7"/>
  <c r="B40" i="7"/>
  <c r="C40" i="7"/>
  <c r="D40" i="7" s="1"/>
  <c r="E40" i="7"/>
  <c r="H40" i="7"/>
  <c r="B41" i="7"/>
  <c r="C41" i="7"/>
  <c r="D41" i="7" s="1"/>
  <c r="E41" i="7"/>
  <c r="H41" i="7"/>
  <c r="B29" i="7"/>
  <c r="C29" i="7"/>
  <c r="D29" i="7"/>
  <c r="E29" i="7"/>
  <c r="F29" i="7"/>
  <c r="G29" i="7" s="1"/>
  <c r="H29" i="7"/>
  <c r="B30" i="7"/>
  <c r="C30" i="7"/>
  <c r="D30" i="7" s="1"/>
  <c r="E30" i="7"/>
  <c r="F30" i="7"/>
  <c r="G30" i="7" s="1"/>
  <c r="H30" i="7"/>
  <c r="B31" i="7"/>
  <c r="C31" i="7"/>
  <c r="E31" i="7"/>
  <c r="D31" i="7" s="1"/>
  <c r="F31" i="7"/>
  <c r="G31" i="7" s="1"/>
  <c r="H31" i="7"/>
  <c r="B32" i="7"/>
  <c r="C32" i="7"/>
  <c r="E32" i="7"/>
  <c r="D32" i="7" s="1"/>
  <c r="F32" i="7"/>
  <c r="G32" i="7" s="1"/>
  <c r="H32" i="7"/>
  <c r="B33" i="7"/>
  <c r="C33" i="7"/>
  <c r="E33" i="7"/>
  <c r="D33" i="7" s="1"/>
  <c r="F33" i="7"/>
  <c r="G33" i="7" s="1"/>
  <c r="H33" i="7"/>
  <c r="B34" i="7"/>
  <c r="C34" i="7"/>
  <c r="E34" i="7"/>
  <c r="D34" i="7" s="1"/>
  <c r="F34" i="7"/>
  <c r="G34" i="7" s="1"/>
  <c r="H34" i="7"/>
  <c r="B27" i="2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C27" i="2"/>
  <c r="E27" i="2"/>
  <c r="D27" i="2" s="1"/>
  <c r="F27" i="2"/>
  <c r="G27" i="2" s="1"/>
  <c r="H27" i="2"/>
  <c r="C28" i="2"/>
  <c r="E28" i="2"/>
  <c r="D28" i="2" s="1"/>
  <c r="F28" i="2"/>
  <c r="G28" i="2" s="1"/>
  <c r="H28" i="2"/>
  <c r="C29" i="2"/>
  <c r="E29" i="2"/>
  <c r="D29" i="2" s="1"/>
  <c r="F29" i="2"/>
  <c r="G29" i="2" s="1"/>
  <c r="H29" i="2"/>
  <c r="C30" i="2"/>
  <c r="E30" i="2"/>
  <c r="D30" i="2" s="1"/>
  <c r="F30" i="2"/>
  <c r="G30" i="2" s="1"/>
  <c r="H30" i="2"/>
  <c r="C31" i="2"/>
  <c r="E31" i="2"/>
  <c r="D31" i="2" s="1"/>
  <c r="F31" i="2"/>
  <c r="G31" i="2" s="1"/>
  <c r="H31" i="2"/>
  <c r="C32" i="2"/>
  <c r="E32" i="2"/>
  <c r="D32" i="2" s="1"/>
  <c r="F32" i="2"/>
  <c r="G32" i="2" s="1"/>
  <c r="H32" i="2"/>
  <c r="C33" i="2"/>
  <c r="E33" i="2"/>
  <c r="D33" i="2" s="1"/>
  <c r="F33" i="2"/>
  <c r="G33" i="2" s="1"/>
  <c r="H33" i="2"/>
  <c r="C34" i="2"/>
  <c r="E34" i="2"/>
  <c r="D34" i="2" s="1"/>
  <c r="F34" i="2"/>
  <c r="G34" i="2" s="1"/>
  <c r="H34" i="2"/>
  <c r="C35" i="2"/>
  <c r="E35" i="2"/>
  <c r="D35" i="2" s="1"/>
  <c r="F35" i="2"/>
  <c r="G35" i="2" s="1"/>
  <c r="H35" i="2"/>
  <c r="C36" i="2"/>
  <c r="E36" i="2"/>
  <c r="D36" i="2" s="1"/>
  <c r="F36" i="2"/>
  <c r="G36" i="2" s="1"/>
  <c r="H36" i="2"/>
  <c r="C37" i="2"/>
  <c r="E37" i="2"/>
  <c r="D37" i="2" s="1"/>
  <c r="F37" i="2"/>
  <c r="G37" i="2" s="1"/>
  <c r="H37" i="2"/>
  <c r="C38" i="2"/>
  <c r="E38" i="2"/>
  <c r="D38" i="2" s="1"/>
  <c r="F38" i="2"/>
  <c r="G38" i="2" s="1"/>
  <c r="H38" i="2"/>
  <c r="B23" i="2"/>
  <c r="C23" i="2"/>
  <c r="D23" i="2" s="1"/>
  <c r="E23" i="2"/>
  <c r="F23" i="2"/>
  <c r="G23" i="2" s="1"/>
  <c r="H23" i="2"/>
  <c r="B24" i="2"/>
  <c r="C24" i="2"/>
  <c r="D24" i="2" s="1"/>
  <c r="E24" i="2"/>
  <c r="F24" i="2"/>
  <c r="G24" i="2" s="1"/>
  <c r="H24" i="2"/>
  <c r="B25" i="2"/>
  <c r="C25" i="2"/>
  <c r="D25" i="2" s="1"/>
  <c r="E25" i="2"/>
  <c r="F25" i="2"/>
  <c r="G25" i="2" s="1"/>
  <c r="H25" i="2"/>
  <c r="B26" i="2"/>
  <c r="C26" i="2"/>
  <c r="D26" i="2" s="1"/>
  <c r="E26" i="2"/>
  <c r="F26" i="2"/>
  <c r="G26" i="2" s="1"/>
  <c r="H26" i="2"/>
  <c r="B20" i="2"/>
  <c r="C20" i="2"/>
  <c r="D20" i="2" s="1"/>
  <c r="E20" i="2"/>
  <c r="H20" i="2"/>
  <c r="B21" i="2"/>
  <c r="C21" i="2"/>
  <c r="D21" i="2" s="1"/>
  <c r="E21" i="2"/>
  <c r="H21" i="2"/>
  <c r="B22" i="2"/>
  <c r="C22" i="2"/>
  <c r="D22" i="2" s="1"/>
  <c r="E22" i="2"/>
  <c r="H22" i="2"/>
  <c r="F29" i="8" l="1"/>
  <c r="F28" i="8"/>
  <c r="F27" i="8"/>
  <c r="F26" i="8"/>
  <c r="F25" i="8"/>
  <c r="F24" i="8"/>
  <c r="F23" i="8"/>
  <c r="F22" i="8"/>
  <c r="F21" i="8"/>
  <c r="F20" i="8"/>
  <c r="F41" i="7"/>
  <c r="F40" i="7"/>
  <c r="F39" i="7"/>
  <c r="F38" i="7"/>
  <c r="F37" i="7"/>
  <c r="F36" i="7"/>
  <c r="F35" i="7"/>
  <c r="J29" i="7"/>
  <c r="J34" i="7"/>
  <c r="J33" i="7"/>
  <c r="J32" i="7"/>
  <c r="J31" i="7"/>
  <c r="J30" i="7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F22" i="2"/>
  <c r="F21" i="2"/>
  <c r="F20" i="2"/>
  <c r="J24" i="8" l="1"/>
  <c r="G24" i="8"/>
  <c r="J28" i="8"/>
  <c r="G28" i="8"/>
  <c r="J25" i="8"/>
  <c r="G25" i="8"/>
  <c r="J29" i="8"/>
  <c r="G29" i="8"/>
  <c r="J26" i="8"/>
  <c r="G26" i="8"/>
  <c r="J27" i="8"/>
  <c r="G27" i="8"/>
  <c r="J22" i="8"/>
  <c r="G22" i="8"/>
  <c r="J23" i="8"/>
  <c r="G23" i="8"/>
  <c r="J20" i="8"/>
  <c r="G20" i="8"/>
  <c r="J21" i="8"/>
  <c r="G21" i="8"/>
  <c r="J36" i="7"/>
  <c r="G36" i="7"/>
  <c r="J40" i="7"/>
  <c r="G40" i="7"/>
  <c r="J37" i="7"/>
  <c r="G37" i="7"/>
  <c r="J41" i="7"/>
  <c r="G41" i="7"/>
  <c r="J38" i="7"/>
  <c r="G38" i="7"/>
  <c r="J35" i="7"/>
  <c r="G35" i="7"/>
  <c r="J39" i="7"/>
  <c r="G39" i="7"/>
  <c r="J21" i="2"/>
  <c r="G21" i="2"/>
  <c r="J22" i="2"/>
  <c r="G22" i="2"/>
  <c r="J20" i="2"/>
  <c r="G20" i="2"/>
  <c r="H24" i="7"/>
  <c r="H25" i="7" s="1"/>
  <c r="H26" i="7" s="1"/>
  <c r="H27" i="7" s="1"/>
  <c r="H28" i="7" s="1"/>
  <c r="E24" i="7"/>
  <c r="E25" i="7" s="1"/>
  <c r="E26" i="7" s="1"/>
  <c r="E27" i="7" s="1"/>
  <c r="E28" i="7" s="1"/>
  <c r="D24" i="7"/>
  <c r="C24" i="7"/>
  <c r="C25" i="7" s="1"/>
  <c r="B24" i="7"/>
  <c r="B25" i="7" s="1"/>
  <c r="B26" i="7" s="1"/>
  <c r="B27" i="7" s="1"/>
  <c r="B28" i="7" s="1"/>
  <c r="C26" i="7" l="1"/>
  <c r="F25" i="7"/>
  <c r="D25" i="7"/>
  <c r="F24" i="7"/>
  <c r="G24" i="7" l="1"/>
  <c r="J24" i="7"/>
  <c r="G25" i="7"/>
  <c r="J25" i="7"/>
  <c r="C27" i="7"/>
  <c r="F26" i="7"/>
  <c r="D26" i="7"/>
  <c r="G26" i="7" l="1"/>
  <c r="J26" i="7"/>
  <c r="C28" i="7"/>
  <c r="D27" i="7"/>
  <c r="F27" i="7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6" i="8"/>
  <c r="G5" i="8"/>
  <c r="G21" i="7"/>
  <c r="G22" i="7"/>
  <c r="G23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6" i="7"/>
  <c r="G5" i="7"/>
  <c r="D5" i="24"/>
  <c r="E7" i="24"/>
  <c r="E8" i="24" s="1"/>
  <c r="E9" i="24" s="1"/>
  <c r="E10" i="24" s="1"/>
  <c r="E11" i="24" s="1"/>
  <c r="E12" i="24" s="1"/>
  <c r="E13" i="24" s="1"/>
  <c r="E14" i="24" s="1"/>
  <c r="E15" i="24" s="1"/>
  <c r="E16" i="24" s="1"/>
  <c r="E17" i="24" s="1"/>
  <c r="H7" i="24"/>
  <c r="H8" i="24" s="1"/>
  <c r="H9" i="24" s="1"/>
  <c r="H10" i="24" s="1"/>
  <c r="H11" i="24" s="1"/>
  <c r="H12" i="24" s="1"/>
  <c r="H13" i="24" s="1"/>
  <c r="H14" i="24" s="1"/>
  <c r="H15" i="24" s="1"/>
  <c r="F6" i="24"/>
  <c r="G6" i="24" s="1"/>
  <c r="F5" i="24"/>
  <c r="G5" i="24" s="1"/>
  <c r="C6" i="24"/>
  <c r="D6" i="24" s="1"/>
  <c r="B7" i="24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D5" i="23"/>
  <c r="H7" i="23"/>
  <c r="H8" i="23" s="1"/>
  <c r="H9" i="23" s="1"/>
  <c r="H10" i="23" s="1"/>
  <c r="F5" i="23"/>
  <c r="J5" i="23" s="1"/>
  <c r="E8" i="23"/>
  <c r="E9" i="23"/>
  <c r="E10" i="23" s="1"/>
  <c r="E11" i="23" s="1"/>
  <c r="E12" i="23" s="1"/>
  <c r="E13" i="23" s="1"/>
  <c r="E14" i="23" s="1"/>
  <c r="E15" i="23" s="1"/>
  <c r="E16" i="23" s="1"/>
  <c r="E17" i="23" s="1"/>
  <c r="E7" i="23"/>
  <c r="C6" i="23"/>
  <c r="D6" i="23" s="1"/>
  <c r="B8" i="23"/>
  <c r="B9" i="23" s="1"/>
  <c r="B10" i="23" s="1"/>
  <c r="B11" i="23" s="1"/>
  <c r="B12" i="23" s="1"/>
  <c r="B13" i="23" s="1"/>
  <c r="B14" i="23" s="1"/>
  <c r="B15" i="23" s="1"/>
  <c r="B16" i="23" s="1"/>
  <c r="B17" i="23" s="1"/>
  <c r="B7" i="23"/>
  <c r="G5" i="22"/>
  <c r="H8" i="22"/>
  <c r="H9" i="22"/>
  <c r="H10" i="22" s="1"/>
  <c r="H7" i="22"/>
  <c r="D5" i="22"/>
  <c r="E7" i="22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F6" i="22"/>
  <c r="G6" i="22" s="1"/>
  <c r="F5" i="22"/>
  <c r="J5" i="22" s="1"/>
  <c r="C7" i="22"/>
  <c r="F7" i="22" s="1"/>
  <c r="C6" i="22"/>
  <c r="D6" i="22" s="1"/>
  <c r="B7" i="22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H8" i="21"/>
  <c r="H9" i="21" s="1"/>
  <c r="H10" i="21" s="1"/>
  <c r="H7" i="21"/>
  <c r="F5" i="21"/>
  <c r="G5" i="21" s="1"/>
  <c r="D5" i="21"/>
  <c r="E7" i="21"/>
  <c r="E8" i="21" s="1"/>
  <c r="E9" i="21" s="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5" i="21"/>
  <c r="C6" i="21"/>
  <c r="D6" i="21" s="1"/>
  <c r="B7" i="2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H8" i="20"/>
  <c r="H9" i="20" s="1"/>
  <c r="H10" i="20" s="1"/>
  <c r="H11" i="20" s="1"/>
  <c r="H12" i="20" s="1"/>
  <c r="H13" i="20" s="1"/>
  <c r="H14" i="20" s="1"/>
  <c r="H15" i="20" s="1"/>
  <c r="H16" i="20" s="1"/>
  <c r="H17" i="20" s="1"/>
  <c r="H18" i="20" s="1"/>
  <c r="H19" i="20" s="1"/>
  <c r="H7" i="20"/>
  <c r="F5" i="20"/>
  <c r="J5" i="20" s="1"/>
  <c r="D5" i="20"/>
  <c r="E8" i="20"/>
  <c r="E9" i="20" s="1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7" i="20"/>
  <c r="C6" i="20"/>
  <c r="F6" i="20" s="1"/>
  <c r="B7" i="20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H7" i="19"/>
  <c r="H8" i="19" s="1"/>
  <c r="H9" i="19" s="1"/>
  <c r="H10" i="19" s="1"/>
  <c r="H11" i="19" s="1"/>
  <c r="D6" i="19"/>
  <c r="D5" i="19"/>
  <c r="E7" i="19"/>
  <c r="E8" i="19" s="1"/>
  <c r="E9" i="19" s="1"/>
  <c r="E10" i="19" s="1"/>
  <c r="E5" i="19"/>
  <c r="F5" i="19"/>
  <c r="G5" i="19" s="1"/>
  <c r="C7" i="19"/>
  <c r="C8" i="19" s="1"/>
  <c r="C6" i="19"/>
  <c r="F6" i="19" s="1"/>
  <c r="B8" i="19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7" i="19"/>
  <c r="H8" i="18"/>
  <c r="H9" i="18"/>
  <c r="H10" i="18" s="1"/>
  <c r="H7" i="18"/>
  <c r="D5" i="18"/>
  <c r="E8" i="18"/>
  <c r="E9" i="18"/>
  <c r="E10" i="18" s="1"/>
  <c r="E7" i="18"/>
  <c r="J5" i="18"/>
  <c r="F5" i="18"/>
  <c r="G5" i="18" s="1"/>
  <c r="C6" i="18"/>
  <c r="C7" i="18" s="1"/>
  <c r="B7" i="18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G5" i="17"/>
  <c r="G6" i="17"/>
  <c r="H8" i="17"/>
  <c r="H9" i="17" s="1"/>
  <c r="H10" i="17" s="1"/>
  <c r="H11" i="17" s="1"/>
  <c r="H12" i="17" s="1"/>
  <c r="H13" i="17" s="1"/>
  <c r="H7" i="17"/>
  <c r="D5" i="17"/>
  <c r="E7" i="17"/>
  <c r="E8" i="17" s="1"/>
  <c r="E9" i="17" s="1"/>
  <c r="E10" i="17" s="1"/>
  <c r="E11" i="17" s="1"/>
  <c r="E12" i="17" s="1"/>
  <c r="E13" i="17" s="1"/>
  <c r="E14" i="17" s="1"/>
  <c r="E15" i="17" s="1"/>
  <c r="C7" i="17"/>
  <c r="F7" i="17" s="1"/>
  <c r="J7" i="17" s="1"/>
  <c r="C6" i="17"/>
  <c r="D6" i="17" s="1"/>
  <c r="F6" i="17"/>
  <c r="J6" i="17" s="1"/>
  <c r="F5" i="17"/>
  <c r="J5" i="17" s="1"/>
  <c r="B7" i="17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H14" i="16"/>
  <c r="H15" i="16" s="1"/>
  <c r="H16" i="16" s="1"/>
  <c r="H13" i="16"/>
  <c r="H8" i="16"/>
  <c r="H9" i="16" s="1"/>
  <c r="H7" i="16"/>
  <c r="E15" i="16"/>
  <c r="E16" i="16" s="1"/>
  <c r="E17" i="16" s="1"/>
  <c r="E18" i="16" s="1"/>
  <c r="E19" i="16" s="1"/>
  <c r="E20" i="16" s="1"/>
  <c r="E21" i="16" s="1"/>
  <c r="E22" i="16" s="1"/>
  <c r="E23" i="16" s="1"/>
  <c r="E24" i="16" s="1"/>
  <c r="E14" i="16"/>
  <c r="E7" i="16"/>
  <c r="E8" i="16" s="1"/>
  <c r="E9" i="16" s="1"/>
  <c r="E10" i="16" s="1"/>
  <c r="D5" i="16"/>
  <c r="C6" i="16"/>
  <c r="C7" i="16" s="1"/>
  <c r="D7" i="16" s="1"/>
  <c r="F5" i="16"/>
  <c r="J5" i="16" s="1"/>
  <c r="B6" i="16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H14" i="15"/>
  <c r="H15" i="15" s="1"/>
  <c r="H16" i="15" s="1"/>
  <c r="H13" i="15"/>
  <c r="H7" i="15"/>
  <c r="H8" i="15" s="1"/>
  <c r="H9" i="15" s="1"/>
  <c r="E13" i="15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12" i="15"/>
  <c r="E7" i="15"/>
  <c r="E8" i="15" s="1"/>
  <c r="E9" i="15" s="1"/>
  <c r="D5" i="15"/>
  <c r="F5" i="15"/>
  <c r="G5" i="15" s="1"/>
  <c r="C6" i="15"/>
  <c r="D6" i="15" s="1"/>
  <c r="B13" i="15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12" i="15"/>
  <c r="B8" i="15"/>
  <c r="B9" i="15" s="1"/>
  <c r="B10" i="15" s="1"/>
  <c r="B11" i="15" s="1"/>
  <c r="B7" i="15"/>
  <c r="H7" i="14"/>
  <c r="D5" i="14"/>
  <c r="F5" i="14"/>
  <c r="J5" i="14" s="1"/>
  <c r="E7" i="14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C6" i="14"/>
  <c r="D6" i="1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F28" i="7" l="1"/>
  <c r="D28" i="7"/>
  <c r="G27" i="7"/>
  <c r="J27" i="7"/>
  <c r="J5" i="24"/>
  <c r="J6" i="24"/>
  <c r="C7" i="24"/>
  <c r="C7" i="23"/>
  <c r="F6" i="23"/>
  <c r="G5" i="23"/>
  <c r="H11" i="23"/>
  <c r="J7" i="22"/>
  <c r="G7" i="22"/>
  <c r="D7" i="22"/>
  <c r="J6" i="22"/>
  <c r="C8" i="22"/>
  <c r="H11" i="22"/>
  <c r="H11" i="21"/>
  <c r="H12" i="21" s="1"/>
  <c r="H13" i="21" s="1"/>
  <c r="H14" i="21" s="1"/>
  <c r="C7" i="21"/>
  <c r="F6" i="21"/>
  <c r="J5" i="21"/>
  <c r="G6" i="20"/>
  <c r="J6" i="20"/>
  <c r="C7" i="20"/>
  <c r="G5" i="20"/>
  <c r="D6" i="20"/>
  <c r="G6" i="19"/>
  <c r="J6" i="19"/>
  <c r="C9" i="19"/>
  <c r="F8" i="19"/>
  <c r="D8" i="19"/>
  <c r="H12" i="19"/>
  <c r="H13" i="19" s="1"/>
  <c r="H14" i="19" s="1"/>
  <c r="H15" i="19" s="1"/>
  <c r="H16" i="19" s="1"/>
  <c r="H17" i="19" s="1"/>
  <c r="H18" i="19" s="1"/>
  <c r="H19" i="19" s="1"/>
  <c r="F7" i="19"/>
  <c r="J5" i="19"/>
  <c r="D7" i="19"/>
  <c r="E11" i="19"/>
  <c r="C8" i="18"/>
  <c r="F7" i="18"/>
  <c r="D7" i="18"/>
  <c r="D6" i="18"/>
  <c r="F6" i="18"/>
  <c r="H11" i="18"/>
  <c r="H12" i="18" s="1"/>
  <c r="H13" i="18" s="1"/>
  <c r="E11" i="18"/>
  <c r="D7" i="17"/>
  <c r="C8" i="17"/>
  <c r="G7" i="17"/>
  <c r="H14" i="17"/>
  <c r="H15" i="17" s="1"/>
  <c r="H16" i="17" s="1"/>
  <c r="E16" i="17"/>
  <c r="F8" i="17"/>
  <c r="H17" i="16"/>
  <c r="H18" i="16" s="1"/>
  <c r="D6" i="16"/>
  <c r="G5" i="16"/>
  <c r="H10" i="16"/>
  <c r="E11" i="16"/>
  <c r="C8" i="16"/>
  <c r="F7" i="16"/>
  <c r="F6" i="16"/>
  <c r="C7" i="15"/>
  <c r="F6" i="15"/>
  <c r="J5" i="15"/>
  <c r="H17" i="15"/>
  <c r="H10" i="15"/>
  <c r="E10" i="15"/>
  <c r="G5" i="14"/>
  <c r="F6" i="14"/>
  <c r="G6" i="14" s="1"/>
  <c r="C7" i="14"/>
  <c r="H8" i="14"/>
  <c r="H7" i="13"/>
  <c r="H8" i="13" s="1"/>
  <c r="H9" i="13" s="1"/>
  <c r="E7" i="13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C7" i="13"/>
  <c r="C8" i="13" s="1"/>
  <c r="F8" i="13" s="1"/>
  <c r="C6" i="13"/>
  <c r="D6" i="13" s="1"/>
  <c r="D7" i="13"/>
  <c r="D5" i="13"/>
  <c r="F5" i="13"/>
  <c r="J5" i="13" s="1"/>
  <c r="B7" i="13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6" i="10"/>
  <c r="G5" i="10"/>
  <c r="H13" i="12"/>
  <c r="H14" i="12" s="1"/>
  <c r="H15" i="12" s="1"/>
  <c r="H16" i="12" s="1"/>
  <c r="H7" i="12"/>
  <c r="H8" i="12" s="1"/>
  <c r="H9" i="12" s="1"/>
  <c r="H10" i="12" s="1"/>
  <c r="D5" i="12"/>
  <c r="C13" i="12"/>
  <c r="C14" i="12" s="1"/>
  <c r="C12" i="12"/>
  <c r="B15" i="12"/>
  <c r="B16" i="12" s="1"/>
  <c r="B17" i="12" s="1"/>
  <c r="B18" i="12" s="1"/>
  <c r="B19" i="12" s="1"/>
  <c r="B20" i="12" s="1"/>
  <c r="B21" i="12" s="1"/>
  <c r="B22" i="12" s="1"/>
  <c r="B23" i="12" s="1"/>
  <c r="B13" i="12"/>
  <c r="E8" i="12"/>
  <c r="E9" i="12" s="1"/>
  <c r="E10" i="12" s="1"/>
  <c r="E11" i="12" s="1"/>
  <c r="E12" i="12" s="1"/>
  <c r="E7" i="12"/>
  <c r="C6" i="12"/>
  <c r="C7" i="12" s="1"/>
  <c r="C8" i="12" s="1"/>
  <c r="D8" i="12" s="1"/>
  <c r="B7" i="12"/>
  <c r="B8" i="12" s="1"/>
  <c r="B9" i="12" s="1"/>
  <c r="B10" i="12" s="1"/>
  <c r="B11" i="12" s="1"/>
  <c r="B12" i="12" s="1"/>
  <c r="F5" i="12"/>
  <c r="J5" i="12" s="1"/>
  <c r="H7" i="11"/>
  <c r="E7" i="11"/>
  <c r="E8" i="11" s="1"/>
  <c r="E9" i="11" s="1"/>
  <c r="D5" i="11"/>
  <c r="F5" i="11"/>
  <c r="J5" i="11" s="1"/>
  <c r="C6" i="11"/>
  <c r="D6" i="11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H14" i="10"/>
  <c r="H15" i="10" s="1"/>
  <c r="H16" i="10" s="1"/>
  <c r="H12" i="10"/>
  <c r="H8" i="10"/>
  <c r="H9" i="10"/>
  <c r="H10" i="10" s="1"/>
  <c r="H7" i="10"/>
  <c r="F5" i="10"/>
  <c r="D5" i="10"/>
  <c r="E7" i="10"/>
  <c r="E8" i="10" s="1"/>
  <c r="E9" i="10" s="1"/>
  <c r="E10" i="10" s="1"/>
  <c r="E11" i="10" s="1"/>
  <c r="E12" i="10" s="1"/>
  <c r="E13" i="10" s="1"/>
  <c r="E14" i="10" s="1"/>
  <c r="C6" i="10"/>
  <c r="F6" i="10" s="1"/>
  <c r="B8" i="10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7" i="10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E8" i="9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7" i="9"/>
  <c r="C8" i="9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7" i="9"/>
  <c r="C6" i="9"/>
  <c r="B8" i="9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7" i="9"/>
  <c r="D5" i="9"/>
  <c r="F6" i="9"/>
  <c r="J6" i="9" s="1"/>
  <c r="F5" i="9"/>
  <c r="J5" i="9" s="1"/>
  <c r="H6" i="8"/>
  <c r="H7" i="8" s="1"/>
  <c r="E8" i="8"/>
  <c r="E9" i="8" s="1"/>
  <c r="E10" i="8" s="1"/>
  <c r="E7" i="8"/>
  <c r="D5" i="8"/>
  <c r="C7" i="8"/>
  <c r="C8" i="8" s="1"/>
  <c r="C6" i="8"/>
  <c r="D6" i="8" s="1"/>
  <c r="F5" i="8"/>
  <c r="J5" i="8" s="1"/>
  <c r="B8" i="8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7" i="8"/>
  <c r="E5" i="7"/>
  <c r="D5" i="7" s="1"/>
  <c r="F5" i="7"/>
  <c r="J5" i="7" s="1"/>
  <c r="D6" i="7"/>
  <c r="F6" i="7"/>
  <c r="J6" i="7" s="1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C7" i="7"/>
  <c r="D7" i="7" s="1"/>
  <c r="E7" i="7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E8" i="7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D5" i="6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5" i="6"/>
  <c r="F5" i="6"/>
  <c r="G5" i="6" s="1"/>
  <c r="E16" i="6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7" i="6"/>
  <c r="E8" i="6" s="1"/>
  <c r="E9" i="6" s="1"/>
  <c r="E10" i="6" s="1"/>
  <c r="E11" i="6" s="1"/>
  <c r="E12" i="6" s="1"/>
  <c r="E13" i="6" s="1"/>
  <c r="E14" i="6" s="1"/>
  <c r="E5" i="6"/>
  <c r="C7" i="6"/>
  <c r="D7" i="6" s="1"/>
  <c r="C6" i="6"/>
  <c r="D6" i="6" s="1"/>
  <c r="B7" i="6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D5" i="5"/>
  <c r="H7" i="5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F5" i="5"/>
  <c r="E7" i="5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5" i="5"/>
  <c r="C6" i="5"/>
  <c r="D6" i="5" s="1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H8" i="4"/>
  <c r="H9" i="4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7" i="4"/>
  <c r="F5" i="4"/>
  <c r="J5" i="4" s="1"/>
  <c r="D5" i="4"/>
  <c r="E8" i="4"/>
  <c r="E9" i="4" s="1"/>
  <c r="E7" i="4"/>
  <c r="C7" i="4"/>
  <c r="F7" i="4" s="1"/>
  <c r="C8" i="4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6" i="4"/>
  <c r="D6" i="4" s="1"/>
  <c r="B8" i="4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7" i="4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7" i="3"/>
  <c r="H8" i="3" s="1"/>
  <c r="H9" i="3" s="1"/>
  <c r="H10" i="3" s="1"/>
  <c r="H11" i="3" s="1"/>
  <c r="D5" i="3"/>
  <c r="F5" i="3"/>
  <c r="E7" i="3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6" i="3"/>
  <c r="G28" i="7" l="1"/>
  <c r="J28" i="7"/>
  <c r="F6" i="6"/>
  <c r="C8" i="6"/>
  <c r="C9" i="6" s="1"/>
  <c r="C10" i="6" s="1"/>
  <c r="C11" i="6" s="1"/>
  <c r="C12" i="6" s="1"/>
  <c r="C13" i="6" s="1"/>
  <c r="C14" i="6" s="1"/>
  <c r="D14" i="6" s="1"/>
  <c r="J5" i="5"/>
  <c r="G5" i="5"/>
  <c r="C8" i="24"/>
  <c r="F7" i="24"/>
  <c r="D7" i="24"/>
  <c r="H12" i="23"/>
  <c r="H13" i="23" s="1"/>
  <c r="J6" i="23"/>
  <c r="G6" i="23"/>
  <c r="D7" i="23"/>
  <c r="F7" i="23"/>
  <c r="C8" i="23"/>
  <c r="H12" i="22"/>
  <c r="H13" i="22" s="1"/>
  <c r="C9" i="22"/>
  <c r="F8" i="22"/>
  <c r="D8" i="22"/>
  <c r="H15" i="21"/>
  <c r="H16" i="21" s="1"/>
  <c r="G6" i="21"/>
  <c r="J6" i="21"/>
  <c r="F7" i="21"/>
  <c r="C8" i="21"/>
  <c r="D7" i="21"/>
  <c r="D7" i="20"/>
  <c r="C8" i="20"/>
  <c r="F7" i="20"/>
  <c r="H21" i="19"/>
  <c r="H20" i="19"/>
  <c r="E12" i="19"/>
  <c r="E13" i="19" s="1"/>
  <c r="G7" i="19"/>
  <c r="J7" i="19"/>
  <c r="C10" i="19"/>
  <c r="D9" i="19"/>
  <c r="F9" i="19"/>
  <c r="G8" i="19"/>
  <c r="J8" i="19"/>
  <c r="H14" i="18"/>
  <c r="H15" i="18" s="1"/>
  <c r="H16" i="18" s="1"/>
  <c r="H17" i="18" s="1"/>
  <c r="G7" i="18"/>
  <c r="J7" i="18"/>
  <c r="G6" i="18"/>
  <c r="J6" i="18"/>
  <c r="C9" i="18"/>
  <c r="D8" i="18"/>
  <c r="F8" i="18"/>
  <c r="E12" i="18"/>
  <c r="E13" i="18" s="1"/>
  <c r="E18" i="17"/>
  <c r="E17" i="17"/>
  <c r="J8" i="17"/>
  <c r="G8" i="17"/>
  <c r="H18" i="17"/>
  <c r="H19" i="17" s="1"/>
  <c r="H20" i="17" s="1"/>
  <c r="H17" i="17"/>
  <c r="C9" i="17"/>
  <c r="D8" i="17"/>
  <c r="H19" i="16"/>
  <c r="H20" i="16" s="1"/>
  <c r="H21" i="16" s="1"/>
  <c r="H22" i="16" s="1"/>
  <c r="J7" i="16"/>
  <c r="G7" i="16"/>
  <c r="F8" i="16"/>
  <c r="D8" i="16"/>
  <c r="J6" i="16"/>
  <c r="G6" i="16"/>
  <c r="H11" i="16"/>
  <c r="E12" i="16"/>
  <c r="C9" i="16"/>
  <c r="D9" i="16" s="1"/>
  <c r="C10" i="16"/>
  <c r="D10" i="16" s="1"/>
  <c r="G6" i="15"/>
  <c r="J6" i="15"/>
  <c r="F7" i="15"/>
  <c r="C8" i="15"/>
  <c r="D7" i="15"/>
  <c r="H18" i="15"/>
  <c r="H11" i="15"/>
  <c r="E11" i="15"/>
  <c r="H9" i="14"/>
  <c r="H10" i="14" s="1"/>
  <c r="H11" i="14" s="1"/>
  <c r="H12" i="14" s="1"/>
  <c r="D7" i="14"/>
  <c r="C8" i="14"/>
  <c r="F7" i="14"/>
  <c r="G7" i="14" s="1"/>
  <c r="J6" i="14"/>
  <c r="H10" i="13"/>
  <c r="H11" i="13" s="1"/>
  <c r="G5" i="13"/>
  <c r="F7" i="13"/>
  <c r="G7" i="13" s="1"/>
  <c r="J8" i="13"/>
  <c r="G8" i="13"/>
  <c r="J7" i="13"/>
  <c r="D8" i="13"/>
  <c r="C9" i="13"/>
  <c r="F6" i="13"/>
  <c r="E13" i="12"/>
  <c r="D12" i="12"/>
  <c r="C15" i="12"/>
  <c r="D7" i="12"/>
  <c r="G5" i="12"/>
  <c r="D6" i="12"/>
  <c r="G5" i="11"/>
  <c r="H17" i="12"/>
  <c r="H11" i="12"/>
  <c r="F12" i="12"/>
  <c r="G12" i="12" s="1"/>
  <c r="F6" i="12"/>
  <c r="C9" i="12"/>
  <c r="D9" i="12" s="1"/>
  <c r="F8" i="12"/>
  <c r="F7" i="12"/>
  <c r="C7" i="11"/>
  <c r="F6" i="11"/>
  <c r="G6" i="11" s="1"/>
  <c r="H8" i="11"/>
  <c r="E10" i="11"/>
  <c r="J6" i="10"/>
  <c r="E16" i="10"/>
  <c r="E15" i="10"/>
  <c r="J5" i="10"/>
  <c r="C7" i="10"/>
  <c r="D6" i="10"/>
  <c r="H17" i="10"/>
  <c r="H18" i="10" s="1"/>
  <c r="H11" i="10"/>
  <c r="C21" i="9"/>
  <c r="D20" i="9"/>
  <c r="F20" i="9"/>
  <c r="F7" i="9"/>
  <c r="J7" i="9" s="1"/>
  <c r="D6" i="9"/>
  <c r="G6" i="9"/>
  <c r="G5" i="9"/>
  <c r="H8" i="8"/>
  <c r="H9" i="8" s="1"/>
  <c r="H10" i="8" s="1"/>
  <c r="C9" i="8"/>
  <c r="F8" i="8"/>
  <c r="J8" i="8" s="1"/>
  <c r="D8" i="8"/>
  <c r="F7" i="8"/>
  <c r="J7" i="8" s="1"/>
  <c r="F6" i="8"/>
  <c r="D7" i="8"/>
  <c r="E11" i="8"/>
  <c r="D9" i="8"/>
  <c r="C8" i="7"/>
  <c r="F7" i="7"/>
  <c r="F7" i="6"/>
  <c r="F10" i="6"/>
  <c r="G10" i="6" s="1"/>
  <c r="D9" i="6"/>
  <c r="J5" i="6"/>
  <c r="F8" i="6"/>
  <c r="G8" i="6" s="1"/>
  <c r="F6" i="5"/>
  <c r="G6" i="5" s="1"/>
  <c r="C7" i="5"/>
  <c r="E10" i="4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D23" i="4" s="1"/>
  <c r="D9" i="4"/>
  <c r="G7" i="4"/>
  <c r="J7" i="4"/>
  <c r="F16" i="4"/>
  <c r="F23" i="4"/>
  <c r="F19" i="4"/>
  <c r="D7" i="4"/>
  <c r="F22" i="4"/>
  <c r="F18" i="4"/>
  <c r="F14" i="4"/>
  <c r="F10" i="4"/>
  <c r="F6" i="4"/>
  <c r="G5" i="4"/>
  <c r="F20" i="4"/>
  <c r="F12" i="4"/>
  <c r="F8" i="4"/>
  <c r="D8" i="4"/>
  <c r="F15" i="4"/>
  <c r="F11" i="4"/>
  <c r="D14" i="4"/>
  <c r="D10" i="4"/>
  <c r="F21" i="4"/>
  <c r="F17" i="4"/>
  <c r="F13" i="4"/>
  <c r="F9" i="4"/>
  <c r="J5" i="3"/>
  <c r="G5" i="3"/>
  <c r="C6" i="3"/>
  <c r="C7" i="3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5" i="1"/>
  <c r="H6" i="2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F5" i="2"/>
  <c r="J5" i="2" s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D5" i="2"/>
  <c r="E5" i="2"/>
  <c r="C7" i="2"/>
  <c r="C8" i="2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D19" i="2" s="1"/>
  <c r="C6" i="2"/>
  <c r="F6" i="2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J5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F5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D5" i="1"/>
  <c r="C6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F12" i="6" l="1"/>
  <c r="G12" i="6" s="1"/>
  <c r="F9" i="6"/>
  <c r="G9" i="6" s="1"/>
  <c r="F11" i="6"/>
  <c r="G11" i="6" s="1"/>
  <c r="F14" i="6"/>
  <c r="G14" i="6" s="1"/>
  <c r="J6" i="6"/>
  <c r="G6" i="6"/>
  <c r="D13" i="6"/>
  <c r="F13" i="6"/>
  <c r="G13" i="6" s="1"/>
  <c r="D8" i="6"/>
  <c r="J7" i="6"/>
  <c r="G7" i="6"/>
  <c r="D10" i="6"/>
  <c r="D11" i="6"/>
  <c r="C15" i="6"/>
  <c r="F15" i="6" s="1"/>
  <c r="G15" i="6" s="1"/>
  <c r="D12" i="6"/>
  <c r="C9" i="24"/>
  <c r="F8" i="24"/>
  <c r="D8" i="24"/>
  <c r="G7" i="24"/>
  <c r="J7" i="24"/>
  <c r="H16" i="24"/>
  <c r="H17" i="24" s="1"/>
  <c r="H14" i="23"/>
  <c r="H15" i="23" s="1"/>
  <c r="J7" i="23"/>
  <c r="G7" i="23"/>
  <c r="C9" i="23"/>
  <c r="D8" i="23"/>
  <c r="F8" i="23"/>
  <c r="H14" i="22"/>
  <c r="H15" i="22" s="1"/>
  <c r="J8" i="22"/>
  <c r="G8" i="22"/>
  <c r="C10" i="22"/>
  <c r="D9" i="22"/>
  <c r="F9" i="22"/>
  <c r="H17" i="21"/>
  <c r="H18" i="21" s="1"/>
  <c r="C9" i="21"/>
  <c r="D8" i="21"/>
  <c r="F8" i="21"/>
  <c r="G7" i="21"/>
  <c r="J7" i="21"/>
  <c r="C9" i="20"/>
  <c r="D8" i="20"/>
  <c r="F8" i="20"/>
  <c r="J7" i="20"/>
  <c r="G7" i="20"/>
  <c r="E15" i="19"/>
  <c r="E14" i="19"/>
  <c r="C11" i="19"/>
  <c r="D10" i="19"/>
  <c r="F10" i="19"/>
  <c r="J9" i="19"/>
  <c r="G9" i="19"/>
  <c r="H18" i="18"/>
  <c r="H19" i="18" s="1"/>
  <c r="H20" i="18" s="1"/>
  <c r="H21" i="18" s="1"/>
  <c r="H22" i="18" s="1"/>
  <c r="E14" i="18"/>
  <c r="E15" i="18" s="1"/>
  <c r="J8" i="18"/>
  <c r="G8" i="18"/>
  <c r="C10" i="18"/>
  <c r="D9" i="18"/>
  <c r="F9" i="18"/>
  <c r="D9" i="17"/>
  <c r="C10" i="17"/>
  <c r="F9" i="17"/>
  <c r="E19" i="17"/>
  <c r="E20" i="17" s="1"/>
  <c r="H23" i="16"/>
  <c r="H24" i="16" s="1"/>
  <c r="F9" i="16"/>
  <c r="J8" i="16"/>
  <c r="G8" i="16"/>
  <c r="H12" i="16"/>
  <c r="C11" i="16"/>
  <c r="D11" i="16" s="1"/>
  <c r="F10" i="16"/>
  <c r="C9" i="15"/>
  <c r="F8" i="15"/>
  <c r="D8" i="15"/>
  <c r="J7" i="15"/>
  <c r="G7" i="15"/>
  <c r="H19" i="15"/>
  <c r="J7" i="14"/>
  <c r="C9" i="14"/>
  <c r="F8" i="14"/>
  <c r="G8" i="14" s="1"/>
  <c r="D8" i="14"/>
  <c r="H13" i="14"/>
  <c r="H12" i="13"/>
  <c r="H13" i="13" s="1"/>
  <c r="H14" i="13" s="1"/>
  <c r="H15" i="13" s="1"/>
  <c r="F9" i="13"/>
  <c r="G9" i="13" s="1"/>
  <c r="C10" i="13"/>
  <c r="D9" i="13"/>
  <c r="G6" i="13"/>
  <c r="J6" i="13"/>
  <c r="J8" i="12"/>
  <c r="G8" i="12"/>
  <c r="E14" i="12"/>
  <c r="D13" i="12"/>
  <c r="J6" i="12"/>
  <c r="G6" i="12"/>
  <c r="C16" i="12"/>
  <c r="J7" i="12"/>
  <c r="G7" i="12"/>
  <c r="H18" i="12"/>
  <c r="C10" i="12"/>
  <c r="D10" i="12" s="1"/>
  <c r="F9" i="12"/>
  <c r="H9" i="11"/>
  <c r="H10" i="11" s="1"/>
  <c r="H11" i="11" s="1"/>
  <c r="H12" i="11" s="1"/>
  <c r="J6" i="11"/>
  <c r="D7" i="11"/>
  <c r="F7" i="11"/>
  <c r="G7" i="11" s="1"/>
  <c r="C8" i="11"/>
  <c r="E11" i="11"/>
  <c r="F7" i="10"/>
  <c r="D7" i="10"/>
  <c r="C8" i="10"/>
  <c r="E18" i="10"/>
  <c r="E17" i="10"/>
  <c r="G20" i="9"/>
  <c r="J20" i="9"/>
  <c r="C22" i="9"/>
  <c r="F21" i="9"/>
  <c r="D21" i="9"/>
  <c r="D7" i="9"/>
  <c r="G7" i="9"/>
  <c r="J6" i="8"/>
  <c r="C10" i="8"/>
  <c r="F9" i="8"/>
  <c r="H11" i="8"/>
  <c r="E12" i="8"/>
  <c r="J7" i="7"/>
  <c r="F8" i="7"/>
  <c r="D8" i="7"/>
  <c r="C9" i="7"/>
  <c r="J13" i="6"/>
  <c r="J11" i="6"/>
  <c r="J10" i="6"/>
  <c r="D15" i="6"/>
  <c r="J14" i="6"/>
  <c r="J8" i="6"/>
  <c r="D7" i="5"/>
  <c r="C8" i="5"/>
  <c r="F7" i="5"/>
  <c r="G7" i="5" s="1"/>
  <c r="J6" i="5"/>
  <c r="J13" i="4"/>
  <c r="G13" i="4"/>
  <c r="G15" i="4"/>
  <c r="J15" i="4"/>
  <c r="J12" i="4"/>
  <c r="G12" i="4"/>
  <c r="J10" i="4"/>
  <c r="G10" i="4"/>
  <c r="G19" i="4"/>
  <c r="J19" i="4"/>
  <c r="J16" i="4"/>
  <c r="G16" i="4"/>
  <c r="G17" i="4"/>
  <c r="J17" i="4"/>
  <c r="D18" i="4"/>
  <c r="G20" i="4"/>
  <c r="J20" i="4"/>
  <c r="J14" i="4"/>
  <c r="G14" i="4"/>
  <c r="D11" i="4"/>
  <c r="D12" i="4"/>
  <c r="D13" i="4"/>
  <c r="J21" i="4"/>
  <c r="G21" i="4"/>
  <c r="D22" i="4"/>
  <c r="D16" i="4"/>
  <c r="J18" i="4"/>
  <c r="G18" i="4"/>
  <c r="D15" i="4"/>
  <c r="D20" i="4"/>
  <c r="D17" i="4"/>
  <c r="G9" i="4"/>
  <c r="J9" i="4"/>
  <c r="G11" i="4"/>
  <c r="J11" i="4"/>
  <c r="G8" i="4"/>
  <c r="J8" i="4"/>
  <c r="J6" i="4"/>
  <c r="G6" i="4"/>
  <c r="J22" i="4"/>
  <c r="G22" i="4"/>
  <c r="D19" i="4"/>
  <c r="G23" i="4"/>
  <c r="J23" i="4"/>
  <c r="D21" i="4"/>
  <c r="D7" i="3"/>
  <c r="F7" i="3"/>
  <c r="D6" i="3"/>
  <c r="F6" i="3"/>
  <c r="C8" i="3"/>
  <c r="D7" i="2"/>
  <c r="J6" i="2"/>
  <c r="G6" i="2"/>
  <c r="D10" i="2"/>
  <c r="D18" i="2"/>
  <c r="D6" i="2"/>
  <c r="F13" i="2"/>
  <c r="F9" i="2"/>
  <c r="D17" i="2"/>
  <c r="F12" i="2"/>
  <c r="F8" i="2"/>
  <c r="D16" i="2"/>
  <c r="D12" i="2"/>
  <c r="D8" i="2"/>
  <c r="F19" i="2"/>
  <c r="F15" i="2"/>
  <c r="F11" i="2"/>
  <c r="F7" i="2"/>
  <c r="G5" i="2"/>
  <c r="D14" i="2"/>
  <c r="F17" i="2"/>
  <c r="D13" i="2"/>
  <c r="D9" i="2"/>
  <c r="F16" i="2"/>
  <c r="D15" i="2"/>
  <c r="D11" i="2"/>
  <c r="F18" i="2"/>
  <c r="F14" i="2"/>
  <c r="F10" i="2"/>
  <c r="D6" i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F23" i="1" s="1"/>
  <c r="F6" i="1"/>
  <c r="D17" i="1"/>
  <c r="J12" i="6" l="1"/>
  <c r="C16" i="6"/>
  <c r="F16" i="6" s="1"/>
  <c r="G16" i="6" s="1"/>
  <c r="J9" i="6"/>
  <c r="J8" i="24"/>
  <c r="G8" i="24"/>
  <c r="C10" i="24"/>
  <c r="D9" i="24"/>
  <c r="F9" i="24"/>
  <c r="H16" i="23"/>
  <c r="H17" i="23" s="1"/>
  <c r="C10" i="23"/>
  <c r="F9" i="23"/>
  <c r="D9" i="23"/>
  <c r="J8" i="23"/>
  <c r="G8" i="23"/>
  <c r="H16" i="22"/>
  <c r="H17" i="22" s="1"/>
  <c r="C11" i="22"/>
  <c r="D10" i="22"/>
  <c r="F10" i="22"/>
  <c r="G9" i="22"/>
  <c r="J9" i="22"/>
  <c r="H19" i="21"/>
  <c r="H20" i="21" s="1"/>
  <c r="G8" i="21"/>
  <c r="J8" i="21"/>
  <c r="C10" i="21"/>
  <c r="D9" i="21"/>
  <c r="F9" i="21"/>
  <c r="C10" i="20"/>
  <c r="F9" i="20"/>
  <c r="D9" i="20"/>
  <c r="J8" i="20"/>
  <c r="G8" i="20"/>
  <c r="C12" i="19"/>
  <c r="F11" i="19"/>
  <c r="D11" i="19"/>
  <c r="J10" i="19"/>
  <c r="G10" i="19"/>
  <c r="E16" i="19"/>
  <c r="E17" i="19" s="1"/>
  <c r="E17" i="18"/>
  <c r="E16" i="18"/>
  <c r="C11" i="18"/>
  <c r="F10" i="18"/>
  <c r="D10" i="18"/>
  <c r="G9" i="18"/>
  <c r="J9" i="18"/>
  <c r="D10" i="17"/>
  <c r="F10" i="17"/>
  <c r="C11" i="17"/>
  <c r="J9" i="17"/>
  <c r="G9" i="17"/>
  <c r="J10" i="16"/>
  <c r="G10" i="16"/>
  <c r="J9" i="16"/>
  <c r="G9" i="16"/>
  <c r="F11" i="16"/>
  <c r="C12" i="16"/>
  <c r="J8" i="15"/>
  <c r="G8" i="15"/>
  <c r="F9" i="15"/>
  <c r="C10" i="15"/>
  <c r="D9" i="15"/>
  <c r="H20" i="15"/>
  <c r="J8" i="14"/>
  <c r="C10" i="14"/>
  <c r="F9" i="14"/>
  <c r="G9" i="14" s="1"/>
  <c r="D9" i="14"/>
  <c r="H14" i="14"/>
  <c r="H17" i="13"/>
  <c r="H16" i="13"/>
  <c r="C11" i="13"/>
  <c r="D10" i="13"/>
  <c r="F10" i="13"/>
  <c r="J9" i="13"/>
  <c r="C17" i="12"/>
  <c r="E15" i="12"/>
  <c r="D14" i="12"/>
  <c r="J9" i="12"/>
  <c r="G9" i="12"/>
  <c r="H19" i="12"/>
  <c r="F10" i="12"/>
  <c r="C11" i="12"/>
  <c r="D11" i="12" s="1"/>
  <c r="C9" i="11"/>
  <c r="F8" i="11"/>
  <c r="G8" i="11" s="1"/>
  <c r="D8" i="11"/>
  <c r="J7" i="11"/>
  <c r="H13" i="11"/>
  <c r="E12" i="11"/>
  <c r="E19" i="10"/>
  <c r="E20" i="10" s="1"/>
  <c r="C9" i="10"/>
  <c r="F8" i="10"/>
  <c r="D8" i="10"/>
  <c r="J7" i="10"/>
  <c r="H19" i="10"/>
  <c r="H20" i="10" s="1"/>
  <c r="J21" i="9"/>
  <c r="G21" i="9"/>
  <c r="C23" i="9"/>
  <c r="D22" i="9"/>
  <c r="F22" i="9"/>
  <c r="F8" i="9"/>
  <c r="G8" i="9" s="1"/>
  <c r="D8" i="9"/>
  <c r="D9" i="9"/>
  <c r="F9" i="9"/>
  <c r="J8" i="9"/>
  <c r="C11" i="8"/>
  <c r="F10" i="8"/>
  <c r="D10" i="8"/>
  <c r="J9" i="8"/>
  <c r="H12" i="8"/>
  <c r="E13" i="8"/>
  <c r="D9" i="7"/>
  <c r="F9" i="7"/>
  <c r="C10" i="7"/>
  <c r="J8" i="7"/>
  <c r="J15" i="6"/>
  <c r="D16" i="6"/>
  <c r="J7" i="5"/>
  <c r="C9" i="5"/>
  <c r="F8" i="5"/>
  <c r="G8" i="5" s="1"/>
  <c r="D8" i="5"/>
  <c r="J7" i="3"/>
  <c r="G7" i="3"/>
  <c r="C9" i="3"/>
  <c r="F8" i="3"/>
  <c r="D8" i="3"/>
  <c r="J6" i="3"/>
  <c r="G6" i="3"/>
  <c r="G7" i="2"/>
  <c r="J7" i="2"/>
  <c r="J12" i="2"/>
  <c r="G12" i="2"/>
  <c r="J10" i="2"/>
  <c r="G10" i="2"/>
  <c r="G17" i="2"/>
  <c r="J17" i="2"/>
  <c r="G11" i="2"/>
  <c r="J11" i="2"/>
  <c r="J14" i="2"/>
  <c r="G14" i="2"/>
  <c r="G16" i="2"/>
  <c r="J16" i="2"/>
  <c r="G15" i="2"/>
  <c r="J15" i="2"/>
  <c r="J9" i="2"/>
  <c r="G9" i="2"/>
  <c r="J18" i="2"/>
  <c r="G18" i="2"/>
  <c r="G19" i="2"/>
  <c r="J19" i="2"/>
  <c r="J8" i="2"/>
  <c r="G8" i="2"/>
  <c r="J13" i="2"/>
  <c r="G13" i="2"/>
  <c r="J23" i="1"/>
  <c r="J6" i="1"/>
  <c r="D18" i="1"/>
  <c r="F12" i="1"/>
  <c r="D15" i="1"/>
  <c r="F13" i="1"/>
  <c r="D16" i="1"/>
  <c r="D22" i="1"/>
  <c r="D19" i="1"/>
  <c r="D20" i="1"/>
  <c r="D21" i="1"/>
  <c r="F16" i="1"/>
  <c r="F22" i="1"/>
  <c r="D10" i="1"/>
  <c r="D7" i="1"/>
  <c r="D8" i="1"/>
  <c r="D9" i="1"/>
  <c r="D23" i="1"/>
  <c r="F20" i="1"/>
  <c r="F21" i="1"/>
  <c r="F10" i="1"/>
  <c r="F7" i="1"/>
  <c r="D14" i="1"/>
  <c r="D11" i="1"/>
  <c r="D12" i="1"/>
  <c r="D13" i="1"/>
  <c r="F8" i="1"/>
  <c r="F9" i="1"/>
  <c r="F11" i="1"/>
  <c r="F14" i="1"/>
  <c r="F15" i="1"/>
  <c r="F19" i="1"/>
  <c r="F18" i="1"/>
  <c r="F17" i="1"/>
  <c r="C17" i="6" l="1"/>
  <c r="F17" i="6" s="1"/>
  <c r="G17" i="6" s="1"/>
  <c r="J9" i="24"/>
  <c r="G9" i="24"/>
  <c r="C11" i="24"/>
  <c r="D10" i="24"/>
  <c r="F10" i="24"/>
  <c r="G9" i="23"/>
  <c r="J9" i="23"/>
  <c r="C11" i="23"/>
  <c r="D10" i="23"/>
  <c r="F10" i="23"/>
  <c r="H18" i="22"/>
  <c r="H19" i="22" s="1"/>
  <c r="H20" i="22" s="1"/>
  <c r="G10" i="22"/>
  <c r="J10" i="22"/>
  <c r="C12" i="22"/>
  <c r="F11" i="22"/>
  <c r="D11" i="22"/>
  <c r="C11" i="21"/>
  <c r="D10" i="21"/>
  <c r="F10" i="21"/>
  <c r="G9" i="21"/>
  <c r="J9" i="21"/>
  <c r="J9" i="20"/>
  <c r="G9" i="20"/>
  <c r="C11" i="20"/>
  <c r="F10" i="20"/>
  <c r="D10" i="20"/>
  <c r="E18" i="19"/>
  <c r="E19" i="19" s="1"/>
  <c r="G11" i="19"/>
  <c r="J11" i="19"/>
  <c r="C13" i="19"/>
  <c r="F12" i="19"/>
  <c r="D12" i="19"/>
  <c r="E18" i="18"/>
  <c r="E19" i="18" s="1"/>
  <c r="G10" i="18"/>
  <c r="J10" i="18"/>
  <c r="C12" i="18"/>
  <c r="D11" i="18"/>
  <c r="F11" i="18"/>
  <c r="D11" i="17"/>
  <c r="C12" i="17"/>
  <c r="F11" i="17"/>
  <c r="J10" i="17"/>
  <c r="G10" i="17"/>
  <c r="J11" i="16"/>
  <c r="G11" i="16"/>
  <c r="C13" i="16"/>
  <c r="D12" i="16"/>
  <c r="F12" i="16"/>
  <c r="C11" i="15"/>
  <c r="F10" i="15"/>
  <c r="D10" i="15"/>
  <c r="J9" i="15"/>
  <c r="G9" i="15"/>
  <c r="H21" i="15"/>
  <c r="J9" i="14"/>
  <c r="C11" i="14"/>
  <c r="D10" i="14"/>
  <c r="F10" i="14"/>
  <c r="G10" i="14" s="1"/>
  <c r="H15" i="14"/>
  <c r="H18" i="13"/>
  <c r="H19" i="13" s="1"/>
  <c r="C12" i="13"/>
  <c r="D11" i="13"/>
  <c r="F11" i="13"/>
  <c r="G11" i="13" s="1"/>
  <c r="G10" i="13"/>
  <c r="J10" i="13"/>
  <c r="J10" i="12"/>
  <c r="G10" i="12"/>
  <c r="E16" i="12"/>
  <c r="D15" i="12"/>
  <c r="C18" i="12"/>
  <c r="H20" i="12"/>
  <c r="F11" i="12"/>
  <c r="J8" i="11"/>
  <c r="C10" i="11"/>
  <c r="F9" i="11"/>
  <c r="G9" i="11" s="1"/>
  <c r="D9" i="11"/>
  <c r="H14" i="11"/>
  <c r="E13" i="11"/>
  <c r="E21" i="10"/>
  <c r="E22" i="10" s="1"/>
  <c r="E23" i="10" s="1"/>
  <c r="J8" i="10"/>
  <c r="C10" i="10"/>
  <c r="F9" i="10"/>
  <c r="D9" i="10"/>
  <c r="J22" i="9"/>
  <c r="G22" i="9"/>
  <c r="C24" i="9"/>
  <c r="D23" i="9"/>
  <c r="F23" i="9"/>
  <c r="J9" i="9"/>
  <c r="G9" i="9"/>
  <c r="D10" i="9"/>
  <c r="F10" i="9"/>
  <c r="J10" i="8"/>
  <c r="C12" i="8"/>
  <c r="F11" i="8"/>
  <c r="D11" i="8"/>
  <c r="H13" i="8"/>
  <c r="E14" i="8"/>
  <c r="F10" i="7"/>
  <c r="D10" i="7"/>
  <c r="C11" i="7"/>
  <c r="J9" i="7"/>
  <c r="C18" i="6"/>
  <c r="J16" i="6"/>
  <c r="J8" i="5"/>
  <c r="C10" i="5"/>
  <c r="F9" i="5"/>
  <c r="G9" i="5" s="1"/>
  <c r="D9" i="5"/>
  <c r="C10" i="3"/>
  <c r="F9" i="3"/>
  <c r="D9" i="3"/>
  <c r="G8" i="3"/>
  <c r="J8" i="3"/>
  <c r="J18" i="1"/>
  <c r="J10" i="1"/>
  <c r="J22" i="1"/>
  <c r="J9" i="1"/>
  <c r="J17" i="1"/>
  <c r="J14" i="1"/>
  <c r="J7" i="1"/>
  <c r="J13" i="1"/>
  <c r="J11" i="1"/>
  <c r="J19" i="1"/>
  <c r="J21" i="1"/>
  <c r="J16" i="1"/>
  <c r="J12" i="1"/>
  <c r="J15" i="1"/>
  <c r="J8" i="1"/>
  <c r="J20" i="1"/>
  <c r="D17" i="6" l="1"/>
  <c r="G10" i="24"/>
  <c r="J10" i="24"/>
  <c r="C12" i="24"/>
  <c r="D11" i="24"/>
  <c r="F11" i="24"/>
  <c r="J10" i="23"/>
  <c r="G10" i="23"/>
  <c r="C12" i="23"/>
  <c r="D11" i="23"/>
  <c r="F11" i="23"/>
  <c r="J11" i="22"/>
  <c r="G11" i="22"/>
  <c r="C13" i="22"/>
  <c r="F12" i="22"/>
  <c r="D12" i="22"/>
  <c r="C12" i="21"/>
  <c r="F11" i="21"/>
  <c r="D11" i="21"/>
  <c r="G10" i="21"/>
  <c r="J10" i="21"/>
  <c r="G10" i="20"/>
  <c r="J10" i="20"/>
  <c r="C12" i="20"/>
  <c r="D11" i="20"/>
  <c r="F11" i="20"/>
  <c r="E20" i="19"/>
  <c r="E21" i="19" s="1"/>
  <c r="J12" i="19"/>
  <c r="G12" i="19"/>
  <c r="C14" i="19"/>
  <c r="F13" i="19"/>
  <c r="D13" i="19"/>
  <c r="C13" i="18"/>
  <c r="F12" i="18"/>
  <c r="D12" i="18"/>
  <c r="E20" i="18"/>
  <c r="E21" i="18" s="1"/>
  <c r="E22" i="18" s="1"/>
  <c r="J11" i="18"/>
  <c r="G11" i="18"/>
  <c r="J11" i="17"/>
  <c r="G11" i="17"/>
  <c r="D12" i="17"/>
  <c r="C13" i="17"/>
  <c r="F12" i="17"/>
  <c r="C14" i="16"/>
  <c r="D13" i="16"/>
  <c r="J12" i="16"/>
  <c r="G12" i="16"/>
  <c r="F13" i="16"/>
  <c r="G10" i="15"/>
  <c r="J10" i="15"/>
  <c r="F11" i="15"/>
  <c r="C12" i="15"/>
  <c r="D11" i="15"/>
  <c r="H22" i="15"/>
  <c r="J10" i="14"/>
  <c r="C12" i="14"/>
  <c r="D11" i="14"/>
  <c r="F11" i="14"/>
  <c r="G11" i="14" s="1"/>
  <c r="H16" i="14"/>
  <c r="H21" i="13"/>
  <c r="H20" i="13"/>
  <c r="F12" i="13"/>
  <c r="C13" i="13"/>
  <c r="D12" i="13"/>
  <c r="J11" i="13"/>
  <c r="J11" i="12"/>
  <c r="G11" i="12"/>
  <c r="E17" i="12"/>
  <c r="D16" i="12"/>
  <c r="C19" i="12"/>
  <c r="H21" i="12"/>
  <c r="F13" i="12"/>
  <c r="J9" i="11"/>
  <c r="C11" i="11"/>
  <c r="F10" i="11"/>
  <c r="G10" i="11" s="1"/>
  <c r="D10" i="11"/>
  <c r="H15" i="11"/>
  <c r="E14" i="11"/>
  <c r="J9" i="10"/>
  <c r="C11" i="10"/>
  <c r="F10" i="10"/>
  <c r="D10" i="10"/>
  <c r="H21" i="10"/>
  <c r="C25" i="9"/>
  <c r="D24" i="9"/>
  <c r="F24" i="9"/>
  <c r="J23" i="9"/>
  <c r="G23" i="9"/>
  <c r="J10" i="9"/>
  <c r="G10" i="9"/>
  <c r="D11" i="9"/>
  <c r="F11" i="9"/>
  <c r="J11" i="8"/>
  <c r="C13" i="8"/>
  <c r="F12" i="8"/>
  <c r="D12" i="8"/>
  <c r="H14" i="8"/>
  <c r="E15" i="8"/>
  <c r="D11" i="7"/>
  <c r="C12" i="7"/>
  <c r="F11" i="7"/>
  <c r="J10" i="7"/>
  <c r="J17" i="6"/>
  <c r="C19" i="6"/>
  <c r="D18" i="6"/>
  <c r="F18" i="6"/>
  <c r="G18" i="6" s="1"/>
  <c r="J9" i="5"/>
  <c r="C11" i="5"/>
  <c r="D10" i="5"/>
  <c r="F10" i="5"/>
  <c r="G10" i="5" s="1"/>
  <c r="G9" i="3"/>
  <c r="J9" i="3"/>
  <c r="C11" i="3"/>
  <c r="D10" i="3"/>
  <c r="F10" i="3"/>
  <c r="G11" i="24" l="1"/>
  <c r="J11" i="24"/>
  <c r="C13" i="24"/>
  <c r="F12" i="24"/>
  <c r="D12" i="24"/>
  <c r="J11" i="23"/>
  <c r="G11" i="23"/>
  <c r="C13" i="23"/>
  <c r="F12" i="23"/>
  <c r="D12" i="23"/>
  <c r="J12" i="22"/>
  <c r="G12" i="22"/>
  <c r="C14" i="22"/>
  <c r="D13" i="22"/>
  <c r="F13" i="22"/>
  <c r="C13" i="21"/>
  <c r="D12" i="21"/>
  <c r="F12" i="21"/>
  <c r="G11" i="21"/>
  <c r="J11" i="21"/>
  <c r="G11" i="20"/>
  <c r="J11" i="20"/>
  <c r="C13" i="20"/>
  <c r="D12" i="20"/>
  <c r="F12" i="20"/>
  <c r="J13" i="19"/>
  <c r="G13" i="19"/>
  <c r="C15" i="19"/>
  <c r="F14" i="19"/>
  <c r="D14" i="19"/>
  <c r="C14" i="18"/>
  <c r="D13" i="18"/>
  <c r="F13" i="18"/>
  <c r="G12" i="18"/>
  <c r="J12" i="18"/>
  <c r="J12" i="17"/>
  <c r="G12" i="17"/>
  <c r="D13" i="17"/>
  <c r="F13" i="17"/>
  <c r="C14" i="17"/>
  <c r="J13" i="16"/>
  <c r="G13" i="16"/>
  <c r="C15" i="16"/>
  <c r="D14" i="16"/>
  <c r="F14" i="16"/>
  <c r="J11" i="15"/>
  <c r="G11" i="15"/>
  <c r="F12" i="15"/>
  <c r="C13" i="15"/>
  <c r="D12" i="15"/>
  <c r="H23" i="15"/>
  <c r="C13" i="14"/>
  <c r="F12" i="14"/>
  <c r="G12" i="14" s="1"/>
  <c r="D12" i="14"/>
  <c r="J11" i="14"/>
  <c r="H17" i="14"/>
  <c r="H23" i="13"/>
  <c r="H24" i="13" s="1"/>
  <c r="H22" i="13"/>
  <c r="F13" i="13"/>
  <c r="G13" i="13" s="1"/>
  <c r="C14" i="13"/>
  <c r="D13" i="13"/>
  <c r="J12" i="13"/>
  <c r="G12" i="13"/>
  <c r="C20" i="12"/>
  <c r="J13" i="12"/>
  <c r="G13" i="12"/>
  <c r="E18" i="12"/>
  <c r="D17" i="12"/>
  <c r="H22" i="12"/>
  <c r="F14" i="12"/>
  <c r="J10" i="11"/>
  <c r="C12" i="11"/>
  <c r="F11" i="11"/>
  <c r="G11" i="11" s="1"/>
  <c r="D11" i="11"/>
  <c r="H16" i="11"/>
  <c r="E15" i="11"/>
  <c r="J10" i="10"/>
  <c r="C12" i="10"/>
  <c r="F11" i="10"/>
  <c r="D11" i="10"/>
  <c r="H22" i="10"/>
  <c r="G24" i="9"/>
  <c r="J24" i="9"/>
  <c r="C26" i="9"/>
  <c r="F25" i="9"/>
  <c r="D25" i="9"/>
  <c r="J11" i="9"/>
  <c r="G11" i="9"/>
  <c r="D12" i="9"/>
  <c r="F12" i="9"/>
  <c r="J12" i="8"/>
  <c r="C14" i="8"/>
  <c r="F13" i="8"/>
  <c r="D13" i="8"/>
  <c r="H15" i="8"/>
  <c r="E16" i="8"/>
  <c r="J11" i="7"/>
  <c r="F12" i="7"/>
  <c r="D12" i="7"/>
  <c r="C13" i="7"/>
  <c r="J18" i="6"/>
  <c r="C20" i="6"/>
  <c r="D19" i="6"/>
  <c r="F19" i="6"/>
  <c r="G19" i="6" s="1"/>
  <c r="J10" i="5"/>
  <c r="C12" i="5"/>
  <c r="F11" i="5"/>
  <c r="G11" i="5" s="1"/>
  <c r="D11" i="5"/>
  <c r="D11" i="3"/>
  <c r="F11" i="3"/>
  <c r="C12" i="3"/>
  <c r="J10" i="3"/>
  <c r="G10" i="3"/>
  <c r="J12" i="24" l="1"/>
  <c r="G12" i="24"/>
  <c r="C14" i="24"/>
  <c r="F13" i="24"/>
  <c r="D13" i="24"/>
  <c r="J12" i="23"/>
  <c r="G12" i="23"/>
  <c r="C14" i="23"/>
  <c r="F13" i="23"/>
  <c r="D13" i="23"/>
  <c r="C15" i="22"/>
  <c r="F14" i="22"/>
  <c r="D14" i="22"/>
  <c r="J13" i="22"/>
  <c r="G13" i="22"/>
  <c r="C14" i="21"/>
  <c r="D13" i="21"/>
  <c r="F13" i="21"/>
  <c r="G12" i="21"/>
  <c r="J12" i="21"/>
  <c r="J12" i="20"/>
  <c r="G12" i="20"/>
  <c r="C14" i="20"/>
  <c r="F13" i="20"/>
  <c r="D13" i="20"/>
  <c r="C16" i="19"/>
  <c r="D15" i="19"/>
  <c r="F15" i="19"/>
  <c r="J14" i="19"/>
  <c r="G14" i="19"/>
  <c r="J13" i="18"/>
  <c r="G13" i="18"/>
  <c r="C15" i="18"/>
  <c r="D14" i="18"/>
  <c r="F14" i="18"/>
  <c r="D14" i="17"/>
  <c r="C15" i="17"/>
  <c r="F14" i="17"/>
  <c r="J13" i="17"/>
  <c r="G13" i="17"/>
  <c r="J14" i="16"/>
  <c r="G14" i="16"/>
  <c r="C16" i="16"/>
  <c r="D15" i="16"/>
  <c r="F15" i="16"/>
  <c r="C14" i="15"/>
  <c r="F13" i="15"/>
  <c r="D13" i="15"/>
  <c r="G12" i="15"/>
  <c r="J12" i="15"/>
  <c r="C14" i="14"/>
  <c r="F13" i="14"/>
  <c r="G13" i="14" s="1"/>
  <c r="D13" i="14"/>
  <c r="J12" i="14"/>
  <c r="H18" i="14"/>
  <c r="C15" i="13"/>
  <c r="D14" i="13"/>
  <c r="F14" i="13"/>
  <c r="J13" i="13"/>
  <c r="E19" i="12"/>
  <c r="D18" i="12"/>
  <c r="C21" i="12"/>
  <c r="J14" i="12"/>
  <c r="G14" i="12"/>
  <c r="H23" i="12"/>
  <c r="F15" i="12"/>
  <c r="J11" i="11"/>
  <c r="C13" i="11"/>
  <c r="F12" i="11"/>
  <c r="G12" i="11" s="1"/>
  <c r="D12" i="11"/>
  <c r="H17" i="11"/>
  <c r="E16" i="11"/>
  <c r="J11" i="10"/>
  <c r="D12" i="10"/>
  <c r="F12" i="10"/>
  <c r="C13" i="10"/>
  <c r="H23" i="10"/>
  <c r="J25" i="9"/>
  <c r="G25" i="9"/>
  <c r="D26" i="9"/>
  <c r="F26" i="9"/>
  <c r="D13" i="9"/>
  <c r="F13" i="9"/>
  <c r="J12" i="9"/>
  <c r="G12" i="9"/>
  <c r="J13" i="8"/>
  <c r="C15" i="8"/>
  <c r="F14" i="8"/>
  <c r="D14" i="8"/>
  <c r="H16" i="8"/>
  <c r="E17" i="8"/>
  <c r="F13" i="7"/>
  <c r="C14" i="7"/>
  <c r="D13" i="7"/>
  <c r="J12" i="7"/>
  <c r="J19" i="6"/>
  <c r="C21" i="6"/>
  <c r="F20" i="6"/>
  <c r="G20" i="6" s="1"/>
  <c r="D20" i="6"/>
  <c r="J11" i="5"/>
  <c r="C13" i="5"/>
  <c r="F12" i="5"/>
  <c r="G12" i="5" s="1"/>
  <c r="D12" i="5"/>
  <c r="J11" i="3"/>
  <c r="G11" i="3"/>
  <c r="F12" i="3"/>
  <c r="D12" i="3"/>
  <c r="C13" i="3"/>
  <c r="J13" i="24" l="1"/>
  <c r="G13" i="24"/>
  <c r="C15" i="24"/>
  <c r="D14" i="24"/>
  <c r="F14" i="24"/>
  <c r="C15" i="23"/>
  <c r="D14" i="23"/>
  <c r="F14" i="23"/>
  <c r="G13" i="23"/>
  <c r="J13" i="23"/>
  <c r="C16" i="22"/>
  <c r="F15" i="22"/>
  <c r="D15" i="22"/>
  <c r="G14" i="22"/>
  <c r="J14" i="22"/>
  <c r="G13" i="21"/>
  <c r="J13" i="21"/>
  <c r="C15" i="21"/>
  <c r="D14" i="21"/>
  <c r="F14" i="21"/>
  <c r="G13" i="20"/>
  <c r="J13" i="20"/>
  <c r="C15" i="20"/>
  <c r="F14" i="20"/>
  <c r="D14" i="20"/>
  <c r="G15" i="19"/>
  <c r="J15" i="19"/>
  <c r="C17" i="19"/>
  <c r="D16" i="19"/>
  <c r="F16" i="19"/>
  <c r="G14" i="18"/>
  <c r="J14" i="18"/>
  <c r="C16" i="18"/>
  <c r="F15" i="18"/>
  <c r="D15" i="18"/>
  <c r="J14" i="17"/>
  <c r="G14" i="17"/>
  <c r="D15" i="17"/>
  <c r="F15" i="17"/>
  <c r="C16" i="17"/>
  <c r="J15" i="16"/>
  <c r="G15" i="16"/>
  <c r="C17" i="16"/>
  <c r="D16" i="16"/>
  <c r="F16" i="16"/>
  <c r="J13" i="15"/>
  <c r="G13" i="15"/>
  <c r="C15" i="15"/>
  <c r="F14" i="15"/>
  <c r="D14" i="15"/>
  <c r="J13" i="14"/>
  <c r="C15" i="14"/>
  <c r="D14" i="14"/>
  <c r="F14" i="14"/>
  <c r="G14" i="14" s="1"/>
  <c r="H19" i="14"/>
  <c r="C16" i="13"/>
  <c r="D15" i="13"/>
  <c r="F15" i="13"/>
  <c r="G15" i="13" s="1"/>
  <c r="G14" i="13"/>
  <c r="J14" i="13"/>
  <c r="E20" i="12"/>
  <c r="D19" i="12"/>
  <c r="J15" i="12"/>
  <c r="G15" i="12"/>
  <c r="C22" i="12"/>
  <c r="F16" i="12"/>
  <c r="J12" i="11"/>
  <c r="C14" i="11"/>
  <c r="F13" i="11"/>
  <c r="G13" i="11" s="1"/>
  <c r="D13" i="11"/>
  <c r="H18" i="11"/>
  <c r="E17" i="11"/>
  <c r="C14" i="10"/>
  <c r="F13" i="10"/>
  <c r="D13" i="10"/>
  <c r="J12" i="10"/>
  <c r="J26" i="9"/>
  <c r="G26" i="9"/>
  <c r="J13" i="9"/>
  <c r="G13" i="9"/>
  <c r="D14" i="9"/>
  <c r="F14" i="9"/>
  <c r="J14" i="8"/>
  <c r="C16" i="8"/>
  <c r="F15" i="8"/>
  <c r="D15" i="8"/>
  <c r="H17" i="8"/>
  <c r="E18" i="8"/>
  <c r="F14" i="7"/>
  <c r="D14" i="7"/>
  <c r="C15" i="7"/>
  <c r="J13" i="7"/>
  <c r="J20" i="6"/>
  <c r="C22" i="6"/>
  <c r="F21" i="6"/>
  <c r="G21" i="6" s="1"/>
  <c r="D21" i="6"/>
  <c r="J12" i="5"/>
  <c r="C14" i="5"/>
  <c r="F13" i="5"/>
  <c r="G13" i="5" s="1"/>
  <c r="D13" i="5"/>
  <c r="G12" i="3"/>
  <c r="J12" i="3"/>
  <c r="F13" i="3"/>
  <c r="D13" i="3"/>
  <c r="C14" i="3"/>
  <c r="G14" i="24" l="1"/>
  <c r="J14" i="24"/>
  <c r="C16" i="24"/>
  <c r="D15" i="24"/>
  <c r="F15" i="24"/>
  <c r="J14" i="23"/>
  <c r="G14" i="23"/>
  <c r="C16" i="23"/>
  <c r="D15" i="23"/>
  <c r="F15" i="23"/>
  <c r="C17" i="22"/>
  <c r="F16" i="22"/>
  <c r="D16" i="22"/>
  <c r="J15" i="22"/>
  <c r="G15" i="22"/>
  <c r="C16" i="21"/>
  <c r="F15" i="21"/>
  <c r="D15" i="21"/>
  <c r="G14" i="21"/>
  <c r="J14" i="21"/>
  <c r="G14" i="20"/>
  <c r="J14" i="20"/>
  <c r="C16" i="20"/>
  <c r="F15" i="20"/>
  <c r="D15" i="20"/>
  <c r="C18" i="19"/>
  <c r="D17" i="19"/>
  <c r="F17" i="19"/>
  <c r="G16" i="19"/>
  <c r="J16" i="19"/>
  <c r="G15" i="18"/>
  <c r="J15" i="18"/>
  <c r="C17" i="18"/>
  <c r="D16" i="18"/>
  <c r="F16" i="18"/>
  <c r="D16" i="17"/>
  <c r="C17" i="17"/>
  <c r="F16" i="17"/>
  <c r="J15" i="17"/>
  <c r="G15" i="17"/>
  <c r="C18" i="16"/>
  <c r="F18" i="16" s="1"/>
  <c r="D17" i="16"/>
  <c r="J16" i="16"/>
  <c r="G16" i="16"/>
  <c r="F17" i="16"/>
  <c r="G14" i="15"/>
  <c r="J14" i="15"/>
  <c r="C16" i="15"/>
  <c r="F15" i="15"/>
  <c r="D15" i="15"/>
  <c r="C16" i="14"/>
  <c r="F15" i="14"/>
  <c r="G15" i="14" s="1"/>
  <c r="D15" i="14"/>
  <c r="J14" i="14"/>
  <c r="H20" i="14"/>
  <c r="F16" i="13"/>
  <c r="C17" i="13"/>
  <c r="D16" i="13"/>
  <c r="J15" i="13"/>
  <c r="J16" i="12"/>
  <c r="G16" i="12"/>
  <c r="C23" i="12"/>
  <c r="E21" i="12"/>
  <c r="D20" i="12"/>
  <c r="F17" i="12"/>
  <c r="C15" i="11"/>
  <c r="F14" i="11"/>
  <c r="G14" i="11" s="1"/>
  <c r="D14" i="11"/>
  <c r="J13" i="11"/>
  <c r="H19" i="11"/>
  <c r="E18" i="11"/>
  <c r="J13" i="10"/>
  <c r="C15" i="10"/>
  <c r="F14" i="10"/>
  <c r="D14" i="10"/>
  <c r="J14" i="9"/>
  <c r="G14" i="9"/>
  <c r="D15" i="9"/>
  <c r="F15" i="9"/>
  <c r="J15" i="8"/>
  <c r="C17" i="8"/>
  <c r="F16" i="8"/>
  <c r="D16" i="8"/>
  <c r="H18" i="8"/>
  <c r="E19" i="8"/>
  <c r="J14" i="7"/>
  <c r="F15" i="7"/>
  <c r="C16" i="7"/>
  <c r="D15" i="7"/>
  <c r="J21" i="6"/>
  <c r="C23" i="6"/>
  <c r="D22" i="6"/>
  <c r="F22" i="6"/>
  <c r="G22" i="6" s="1"/>
  <c r="J13" i="5"/>
  <c r="C15" i="5"/>
  <c r="D14" i="5"/>
  <c r="F14" i="5"/>
  <c r="G14" i="5" s="1"/>
  <c r="C15" i="3"/>
  <c r="D14" i="3"/>
  <c r="F14" i="3"/>
  <c r="G13" i="3"/>
  <c r="J13" i="3"/>
  <c r="G15" i="24" l="1"/>
  <c r="J15" i="24"/>
  <c r="C17" i="24"/>
  <c r="F16" i="24"/>
  <c r="D16" i="24"/>
  <c r="C17" i="23"/>
  <c r="F16" i="23"/>
  <c r="D16" i="23"/>
  <c r="J15" i="23"/>
  <c r="G15" i="23"/>
  <c r="C18" i="22"/>
  <c r="D17" i="22"/>
  <c r="F17" i="22"/>
  <c r="J16" i="22"/>
  <c r="G16" i="22"/>
  <c r="G15" i="21"/>
  <c r="J15" i="21"/>
  <c r="C17" i="21"/>
  <c r="D16" i="21"/>
  <c r="F16" i="21"/>
  <c r="G15" i="20"/>
  <c r="J15" i="20"/>
  <c r="C17" i="20"/>
  <c r="D16" i="20"/>
  <c r="F16" i="20"/>
  <c r="G17" i="19"/>
  <c r="J17" i="19"/>
  <c r="C19" i="19"/>
  <c r="D18" i="19"/>
  <c r="F18" i="19"/>
  <c r="C18" i="18"/>
  <c r="F17" i="18"/>
  <c r="D17" i="18"/>
  <c r="J16" i="18"/>
  <c r="G16" i="18"/>
  <c r="J16" i="17"/>
  <c r="G16" i="17"/>
  <c r="D17" i="17"/>
  <c r="C18" i="17"/>
  <c r="F17" i="17"/>
  <c r="J17" i="16"/>
  <c r="G17" i="16"/>
  <c r="J18" i="16"/>
  <c r="G18" i="16"/>
  <c r="C19" i="16"/>
  <c r="D18" i="16"/>
  <c r="G15" i="15"/>
  <c r="J15" i="15"/>
  <c r="C17" i="15"/>
  <c r="F16" i="15"/>
  <c r="D16" i="15"/>
  <c r="J15" i="14"/>
  <c r="C17" i="14"/>
  <c r="F16" i="14"/>
  <c r="G16" i="14" s="1"/>
  <c r="D16" i="14"/>
  <c r="H21" i="14"/>
  <c r="F17" i="13"/>
  <c r="G17" i="13" s="1"/>
  <c r="C18" i="13"/>
  <c r="D17" i="13"/>
  <c r="J16" i="13"/>
  <c r="G16" i="13"/>
  <c r="J17" i="12"/>
  <c r="G17" i="12"/>
  <c r="E22" i="12"/>
  <c r="D21" i="12"/>
  <c r="F18" i="12"/>
  <c r="J14" i="11"/>
  <c r="C16" i="11"/>
  <c r="F15" i="11"/>
  <c r="G15" i="11" s="1"/>
  <c r="D15" i="11"/>
  <c r="H20" i="11"/>
  <c r="E19" i="11"/>
  <c r="J14" i="10"/>
  <c r="C16" i="10"/>
  <c r="F15" i="10"/>
  <c r="D15" i="10"/>
  <c r="D16" i="9"/>
  <c r="F16" i="9"/>
  <c r="J15" i="9"/>
  <c r="G15" i="9"/>
  <c r="J16" i="8"/>
  <c r="C18" i="8"/>
  <c r="F17" i="8"/>
  <c r="D17" i="8"/>
  <c r="H19" i="8"/>
  <c r="J15" i="7"/>
  <c r="F16" i="7"/>
  <c r="D16" i="7"/>
  <c r="C17" i="7"/>
  <c r="J22" i="6"/>
  <c r="C24" i="6"/>
  <c r="F23" i="6"/>
  <c r="G23" i="6" s="1"/>
  <c r="D23" i="6"/>
  <c r="J14" i="5"/>
  <c r="C16" i="5"/>
  <c r="D15" i="5"/>
  <c r="F15" i="5"/>
  <c r="G15" i="5" s="1"/>
  <c r="J14" i="3"/>
  <c r="G14" i="3"/>
  <c r="C16" i="3"/>
  <c r="D15" i="3"/>
  <c r="F15" i="3"/>
  <c r="J16" i="24" l="1"/>
  <c r="G16" i="24"/>
  <c r="D17" i="24"/>
  <c r="F17" i="24"/>
  <c r="J16" i="23"/>
  <c r="G16" i="23"/>
  <c r="F17" i="23"/>
  <c r="D17" i="23"/>
  <c r="G17" i="22"/>
  <c r="J17" i="22"/>
  <c r="C19" i="22"/>
  <c r="D18" i="22"/>
  <c r="F18" i="22"/>
  <c r="C18" i="21"/>
  <c r="F17" i="21"/>
  <c r="D17" i="21"/>
  <c r="G16" i="21"/>
  <c r="J16" i="21"/>
  <c r="C18" i="20"/>
  <c r="F17" i="20"/>
  <c r="D17" i="20"/>
  <c r="J16" i="20"/>
  <c r="G16" i="20"/>
  <c r="G18" i="19"/>
  <c r="J18" i="19"/>
  <c r="C20" i="19"/>
  <c r="F19" i="19"/>
  <c r="D19" i="19"/>
  <c r="C19" i="18"/>
  <c r="D18" i="18"/>
  <c r="F18" i="18"/>
  <c r="J17" i="18"/>
  <c r="G17" i="18"/>
  <c r="J17" i="17"/>
  <c r="G17" i="17"/>
  <c r="D18" i="17"/>
  <c r="F18" i="17"/>
  <c r="C19" i="17"/>
  <c r="F19" i="16"/>
  <c r="C20" i="16"/>
  <c r="D19" i="16"/>
  <c r="G16" i="15"/>
  <c r="J16" i="15"/>
  <c r="C18" i="15"/>
  <c r="F17" i="15"/>
  <c r="D17" i="15"/>
  <c r="J16" i="14"/>
  <c r="C18" i="14"/>
  <c r="F17" i="14"/>
  <c r="G17" i="14" s="1"/>
  <c r="D17" i="14"/>
  <c r="H22" i="14"/>
  <c r="C19" i="13"/>
  <c r="D18" i="13"/>
  <c r="F18" i="13"/>
  <c r="J17" i="13"/>
  <c r="E23" i="12"/>
  <c r="D23" i="12" s="1"/>
  <c r="D22" i="12"/>
  <c r="J18" i="12"/>
  <c r="G18" i="12"/>
  <c r="F19" i="12"/>
  <c r="J15" i="11"/>
  <c r="C17" i="11"/>
  <c r="F16" i="11"/>
  <c r="G16" i="11" s="1"/>
  <c r="D16" i="11"/>
  <c r="H21" i="11"/>
  <c r="E20" i="11"/>
  <c r="J15" i="10"/>
  <c r="C17" i="10"/>
  <c r="F16" i="10"/>
  <c r="D16" i="10"/>
  <c r="D17" i="9"/>
  <c r="F17" i="9"/>
  <c r="J16" i="9"/>
  <c r="G16" i="9"/>
  <c r="C19" i="8"/>
  <c r="F18" i="8"/>
  <c r="D18" i="8"/>
  <c r="J17" i="8"/>
  <c r="F17" i="7"/>
  <c r="C18" i="7"/>
  <c r="D17" i="7"/>
  <c r="J16" i="7"/>
  <c r="J23" i="6"/>
  <c r="C25" i="6"/>
  <c r="F24" i="6"/>
  <c r="G24" i="6" s="1"/>
  <c r="D24" i="6"/>
  <c r="J15" i="5"/>
  <c r="C17" i="5"/>
  <c r="F16" i="5"/>
  <c r="G16" i="5" s="1"/>
  <c r="D16" i="5"/>
  <c r="C17" i="3"/>
  <c r="F16" i="3"/>
  <c r="D16" i="3"/>
  <c r="J15" i="3"/>
  <c r="G15" i="3"/>
  <c r="J17" i="24" l="1"/>
  <c r="G17" i="24"/>
  <c r="G17" i="23"/>
  <c r="J17" i="23"/>
  <c r="C20" i="22"/>
  <c r="F19" i="22"/>
  <c r="D19" i="22"/>
  <c r="G18" i="22"/>
  <c r="J18" i="22"/>
  <c r="G17" i="21"/>
  <c r="J17" i="21"/>
  <c r="C19" i="21"/>
  <c r="D18" i="21"/>
  <c r="F18" i="21"/>
  <c r="C19" i="20"/>
  <c r="F18" i="20"/>
  <c r="D18" i="20"/>
  <c r="J17" i="20"/>
  <c r="G17" i="20"/>
  <c r="J19" i="19"/>
  <c r="G19" i="19"/>
  <c r="C21" i="19"/>
  <c r="F20" i="19"/>
  <c r="D20" i="19"/>
  <c r="G18" i="18"/>
  <c r="J18" i="18"/>
  <c r="C20" i="18"/>
  <c r="D19" i="18"/>
  <c r="F19" i="18"/>
  <c r="D19" i="17"/>
  <c r="F19" i="17"/>
  <c r="C20" i="17"/>
  <c r="J18" i="17"/>
  <c r="G18" i="17"/>
  <c r="F20" i="16"/>
  <c r="C21" i="16"/>
  <c r="D20" i="16"/>
  <c r="J19" i="16"/>
  <c r="G19" i="16"/>
  <c r="J17" i="15"/>
  <c r="G17" i="15"/>
  <c r="C19" i="15"/>
  <c r="F18" i="15"/>
  <c r="D18" i="15"/>
  <c r="J17" i="14"/>
  <c r="C19" i="14"/>
  <c r="D18" i="14"/>
  <c r="F18" i="14"/>
  <c r="G18" i="14" s="1"/>
  <c r="H23" i="14"/>
  <c r="G18" i="13"/>
  <c r="J18" i="13"/>
  <c r="C20" i="13"/>
  <c r="D19" i="13"/>
  <c r="F19" i="13"/>
  <c r="G19" i="13" s="1"/>
  <c r="J19" i="12"/>
  <c r="G19" i="12"/>
  <c r="F20" i="12"/>
  <c r="J16" i="11"/>
  <c r="C18" i="11"/>
  <c r="F17" i="11"/>
  <c r="G17" i="11" s="1"/>
  <c r="D17" i="11"/>
  <c r="H22" i="11"/>
  <c r="E21" i="11"/>
  <c r="J16" i="10"/>
  <c r="C18" i="10"/>
  <c r="F17" i="10"/>
  <c r="D17" i="10"/>
  <c r="D18" i="9"/>
  <c r="F18" i="9"/>
  <c r="J17" i="9"/>
  <c r="G17" i="9"/>
  <c r="J18" i="8"/>
  <c r="F19" i="8"/>
  <c r="D19" i="8"/>
  <c r="D18" i="7"/>
  <c r="F18" i="7"/>
  <c r="C19" i="7"/>
  <c r="J17" i="7"/>
  <c r="J24" i="6"/>
  <c r="C26" i="6"/>
  <c r="D25" i="6"/>
  <c r="F25" i="6"/>
  <c r="G25" i="6" s="1"/>
  <c r="J16" i="5"/>
  <c r="C18" i="5"/>
  <c r="F17" i="5"/>
  <c r="G17" i="5" s="1"/>
  <c r="D17" i="5"/>
  <c r="G16" i="3"/>
  <c r="J16" i="3"/>
  <c r="C18" i="3"/>
  <c r="F17" i="3"/>
  <c r="D17" i="3"/>
  <c r="J19" i="22" l="1"/>
  <c r="G19" i="22"/>
  <c r="F20" i="22"/>
  <c r="D20" i="22"/>
  <c r="C20" i="21"/>
  <c r="F19" i="21"/>
  <c r="D19" i="21"/>
  <c r="G18" i="21"/>
  <c r="J18" i="21"/>
  <c r="D19" i="20"/>
  <c r="F19" i="20"/>
  <c r="G18" i="20"/>
  <c r="J18" i="20"/>
  <c r="G20" i="19"/>
  <c r="J20" i="19"/>
  <c r="F21" i="19"/>
  <c r="D21" i="19"/>
  <c r="J19" i="18"/>
  <c r="G19" i="18"/>
  <c r="C21" i="18"/>
  <c r="F20" i="18"/>
  <c r="D20" i="18"/>
  <c r="J19" i="17"/>
  <c r="G19" i="17"/>
  <c r="F20" i="17"/>
  <c r="D20" i="17"/>
  <c r="J20" i="16"/>
  <c r="G20" i="16"/>
  <c r="C22" i="16"/>
  <c r="F21" i="16"/>
  <c r="D21" i="16"/>
  <c r="G18" i="15"/>
  <c r="J18" i="15"/>
  <c r="C20" i="15"/>
  <c r="F19" i="15"/>
  <c r="D19" i="15"/>
  <c r="C20" i="14"/>
  <c r="D19" i="14"/>
  <c r="F19" i="14"/>
  <c r="G19" i="14" s="1"/>
  <c r="J18" i="14"/>
  <c r="F20" i="13"/>
  <c r="C21" i="13"/>
  <c r="D20" i="13"/>
  <c r="J19" i="13"/>
  <c r="J20" i="12"/>
  <c r="G20" i="12"/>
  <c r="F21" i="12"/>
  <c r="J17" i="11"/>
  <c r="C19" i="11"/>
  <c r="F18" i="11"/>
  <c r="G18" i="11" s="1"/>
  <c r="D18" i="11"/>
  <c r="H23" i="11"/>
  <c r="E22" i="11"/>
  <c r="J17" i="10"/>
  <c r="C19" i="10"/>
  <c r="F18" i="10"/>
  <c r="D18" i="10"/>
  <c r="J18" i="9"/>
  <c r="G18" i="9"/>
  <c r="F19" i="9"/>
  <c r="D19" i="9"/>
  <c r="J19" i="8"/>
  <c r="D19" i="7"/>
  <c r="C20" i="7"/>
  <c r="F19" i="7"/>
  <c r="J18" i="7"/>
  <c r="D26" i="6"/>
  <c r="F26" i="6"/>
  <c r="G26" i="6" s="1"/>
  <c r="J25" i="6"/>
  <c r="J17" i="5"/>
  <c r="C19" i="5"/>
  <c r="D18" i="5"/>
  <c r="F18" i="5"/>
  <c r="G18" i="5" s="1"/>
  <c r="G17" i="3"/>
  <c r="J17" i="3"/>
  <c r="C19" i="3"/>
  <c r="D18" i="3"/>
  <c r="F18" i="3"/>
  <c r="J20" i="22" l="1"/>
  <c r="G20" i="22"/>
  <c r="G19" i="21"/>
  <c r="J19" i="21"/>
  <c r="D20" i="21"/>
  <c r="F20" i="21"/>
  <c r="G19" i="20"/>
  <c r="J19" i="20"/>
  <c r="J21" i="19"/>
  <c r="G21" i="19"/>
  <c r="G20" i="18"/>
  <c r="J20" i="18"/>
  <c r="C22" i="18"/>
  <c r="D21" i="18"/>
  <c r="F21" i="18"/>
  <c r="J20" i="17"/>
  <c r="G20" i="17"/>
  <c r="J21" i="16"/>
  <c r="G21" i="16"/>
  <c r="F22" i="16"/>
  <c r="C23" i="16"/>
  <c r="D22" i="16"/>
  <c r="G19" i="15"/>
  <c r="J19" i="15"/>
  <c r="C21" i="15"/>
  <c r="F20" i="15"/>
  <c r="D20" i="15"/>
  <c r="J19" i="14"/>
  <c r="C21" i="14"/>
  <c r="F20" i="14"/>
  <c r="G20" i="14" s="1"/>
  <c r="D20" i="14"/>
  <c r="F21" i="13"/>
  <c r="G21" i="13" s="1"/>
  <c r="C22" i="13"/>
  <c r="D21" i="13"/>
  <c r="J20" i="13"/>
  <c r="G20" i="13"/>
  <c r="J21" i="12"/>
  <c r="G21" i="12"/>
  <c r="F22" i="12"/>
  <c r="J18" i="11"/>
  <c r="C20" i="11"/>
  <c r="F19" i="11"/>
  <c r="G19" i="11" s="1"/>
  <c r="D19" i="11"/>
  <c r="E23" i="11"/>
  <c r="J18" i="10"/>
  <c r="C20" i="10"/>
  <c r="F19" i="10"/>
  <c r="D19" i="10"/>
  <c r="J19" i="9"/>
  <c r="G19" i="9"/>
  <c r="J19" i="7"/>
  <c r="F20" i="7"/>
  <c r="D20" i="7"/>
  <c r="C21" i="7"/>
  <c r="J26" i="6"/>
  <c r="D19" i="5"/>
  <c r="F19" i="5"/>
  <c r="G19" i="5" s="1"/>
  <c r="J18" i="5"/>
  <c r="J18" i="3"/>
  <c r="G18" i="3"/>
  <c r="C20" i="3"/>
  <c r="D19" i="3"/>
  <c r="F19" i="3"/>
  <c r="G20" i="21" l="1"/>
  <c r="J20" i="21"/>
  <c r="G21" i="18"/>
  <c r="J21" i="18"/>
  <c r="D22" i="18"/>
  <c r="F22" i="18"/>
  <c r="C24" i="16"/>
  <c r="F23" i="16"/>
  <c r="D23" i="16"/>
  <c r="J22" i="16"/>
  <c r="G22" i="16"/>
  <c r="J20" i="15"/>
  <c r="G20" i="15"/>
  <c r="C22" i="15"/>
  <c r="F21" i="15"/>
  <c r="D21" i="15"/>
  <c r="J20" i="14"/>
  <c r="C22" i="14"/>
  <c r="F21" i="14"/>
  <c r="G21" i="14" s="1"/>
  <c r="D21" i="14"/>
  <c r="C23" i="13"/>
  <c r="D22" i="13"/>
  <c r="F22" i="13"/>
  <c r="J21" i="13"/>
  <c r="J22" i="12"/>
  <c r="G22" i="12"/>
  <c r="F23" i="12"/>
  <c r="C21" i="11"/>
  <c r="F20" i="11"/>
  <c r="G20" i="11" s="1"/>
  <c r="D20" i="11"/>
  <c r="J19" i="11"/>
  <c r="J19" i="10"/>
  <c r="C21" i="10"/>
  <c r="F20" i="10"/>
  <c r="D20" i="10"/>
  <c r="J20" i="7"/>
  <c r="F21" i="7"/>
  <c r="D21" i="7"/>
  <c r="C22" i="7"/>
  <c r="J19" i="5"/>
  <c r="J19" i="3"/>
  <c r="G19" i="3"/>
  <c r="C21" i="3"/>
  <c r="F20" i="3"/>
  <c r="D20" i="3"/>
  <c r="G22" i="18" l="1"/>
  <c r="J22" i="18"/>
  <c r="F24" i="16"/>
  <c r="D24" i="16"/>
  <c r="J23" i="16"/>
  <c r="G23" i="16"/>
  <c r="J21" i="15"/>
  <c r="G21" i="15"/>
  <c r="C23" i="15"/>
  <c r="F22" i="15"/>
  <c r="D22" i="15"/>
  <c r="J21" i="14"/>
  <c r="C23" i="14"/>
  <c r="D22" i="14"/>
  <c r="F22" i="14"/>
  <c r="G22" i="14" s="1"/>
  <c r="G22" i="13"/>
  <c r="J22" i="13"/>
  <c r="C24" i="13"/>
  <c r="D23" i="13"/>
  <c r="F23" i="13"/>
  <c r="G23" i="13" s="1"/>
  <c r="J23" i="12"/>
  <c r="G23" i="12"/>
  <c r="C22" i="11"/>
  <c r="F21" i="11"/>
  <c r="G21" i="11" s="1"/>
  <c r="D21" i="11"/>
  <c r="J20" i="11"/>
  <c r="J20" i="10"/>
  <c r="C22" i="10"/>
  <c r="F21" i="10"/>
  <c r="D21" i="10"/>
  <c r="D22" i="7"/>
  <c r="F22" i="7"/>
  <c r="C23" i="7"/>
  <c r="J21" i="7"/>
  <c r="G20" i="3"/>
  <c r="J20" i="3"/>
  <c r="C22" i="3"/>
  <c r="F21" i="3"/>
  <c r="D21" i="3"/>
  <c r="J24" i="16" l="1"/>
  <c r="G24" i="16"/>
  <c r="G22" i="15"/>
  <c r="J22" i="15"/>
  <c r="F23" i="15"/>
  <c r="D23" i="15"/>
  <c r="D23" i="14"/>
  <c r="F23" i="14"/>
  <c r="G23" i="14" s="1"/>
  <c r="J22" i="14"/>
  <c r="F24" i="13"/>
  <c r="D24" i="13"/>
  <c r="J23" i="13"/>
  <c r="C23" i="11"/>
  <c r="F22" i="11"/>
  <c r="G22" i="11" s="1"/>
  <c r="D22" i="11"/>
  <c r="J21" i="11"/>
  <c r="J21" i="10"/>
  <c r="F22" i="10"/>
  <c r="D22" i="10"/>
  <c r="C23" i="10"/>
  <c r="D23" i="7"/>
  <c r="F23" i="7"/>
  <c r="J22" i="7"/>
  <c r="G21" i="3"/>
  <c r="J21" i="3"/>
  <c r="C23" i="3"/>
  <c r="D22" i="3"/>
  <c r="F22" i="3"/>
  <c r="J23" i="15" l="1"/>
  <c r="G23" i="15"/>
  <c r="J23" i="14"/>
  <c r="J24" i="13"/>
  <c r="G24" i="13"/>
  <c r="J22" i="11"/>
  <c r="F23" i="11"/>
  <c r="G23" i="11" s="1"/>
  <c r="D23" i="11"/>
  <c r="J22" i="10"/>
  <c r="F23" i="10"/>
  <c r="D23" i="10"/>
  <c r="J23" i="7"/>
  <c r="J22" i="3"/>
  <c r="G22" i="3"/>
  <c r="C24" i="3"/>
  <c r="D23" i="3"/>
  <c r="F23" i="3"/>
  <c r="J23" i="11" l="1"/>
  <c r="J23" i="10"/>
  <c r="J23" i="3"/>
  <c r="G23" i="3"/>
  <c r="C25" i="3"/>
  <c r="F24" i="3"/>
  <c r="D24" i="3"/>
  <c r="G24" i="3" l="1"/>
  <c r="J24" i="3"/>
  <c r="C26" i="3"/>
  <c r="F25" i="3"/>
  <c r="D25" i="3"/>
  <c r="G25" i="3" l="1"/>
  <c r="J25" i="3"/>
  <c r="D26" i="3"/>
  <c r="F26" i="3"/>
  <c r="J26" i="3" l="1"/>
  <c r="G26" i="3"/>
</calcChain>
</file>

<file path=xl/sharedStrings.xml><?xml version="1.0" encoding="utf-8"?>
<sst xmlns="http://schemas.openxmlformats.org/spreadsheetml/2006/main" count="337" uniqueCount="34">
  <si>
    <t xml:space="preserve">Salary Step </t>
  </si>
  <si>
    <t>As at 2025.01.01</t>
  </si>
  <si>
    <t>As at 2026.01.01</t>
  </si>
  <si>
    <t>Basic salary (RS)</t>
  </si>
  <si>
    <t>Unpaid Amount (RS)</t>
  </si>
  <si>
    <t>Paid Amount (RS)</t>
  </si>
  <si>
    <t>As at 2027.01.01</t>
  </si>
  <si>
    <t>As at 2024.12.31 Basic Salary</t>
  </si>
  <si>
    <t>Basic Salary (RS)</t>
  </si>
  <si>
    <t>PL  1 -2025- G III</t>
  </si>
  <si>
    <t>PL 1  -2025- G II</t>
  </si>
  <si>
    <t>PL 1 -2025- G I</t>
  </si>
  <si>
    <t>PL 2 -2025- G III</t>
  </si>
  <si>
    <t>PL 2 -2025- G II</t>
  </si>
  <si>
    <t>PL 2 -2025- G I</t>
  </si>
  <si>
    <t>PL 3 -2025- G III</t>
  </si>
  <si>
    <t>PL 3 -2025- G II</t>
  </si>
  <si>
    <t>PL 3 -2025- G I</t>
  </si>
  <si>
    <t>MA 1 -1-G II</t>
  </si>
  <si>
    <t>MA 2 -2-G III</t>
  </si>
  <si>
    <t>MA 2 -2-G II</t>
  </si>
  <si>
    <t>MA 2 -2-G I</t>
  </si>
  <si>
    <t>MA 1-2-G III</t>
  </si>
  <si>
    <t>MA 1-2-G II</t>
  </si>
  <si>
    <t>MA 1-2-G I</t>
  </si>
  <si>
    <t>JM 1-2-G II</t>
  </si>
  <si>
    <t>JM 1-2-G I</t>
  </si>
  <si>
    <t>MM 1-1-G II</t>
  </si>
  <si>
    <t>MM 1-1-G I</t>
  </si>
  <si>
    <t>HM 1-1</t>
  </si>
  <si>
    <t>HM 1-3</t>
  </si>
  <si>
    <t>HM 2-1</t>
  </si>
  <si>
    <t>HM 2-3</t>
  </si>
  <si>
    <t>fcAHIaG ksfhdacH wOHCI ^wdrCIl&amp; $ wOHCI ^lgqkdhl w'ie'l'&amp;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</si>
</sst>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8"/>
      <color theme="1"/>
      <name val="Calibri Light"/>
      <family val="2"/>
      <scheme val="major"/>
    </font>
    <font>
      <b/>
      <sz val="13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1" xfId="1" applyNumberFormat="1" applyFont="1" applyBorder="1" applyAlignment="1">
      <alignment horizontal="center" vertical="center" wrapText="1"/>
    </xf>
    <xf numFmtId="164" fontId="2" fillId="0" borderId="10" xfId="1" applyNumberFormat="1" applyFont="1" applyBorder="1" applyAlignment="1">
      <alignment horizontal="center" vertical="center" wrapText="1"/>
    </xf>
    <xf numFmtId="164" fontId="2" fillId="0" borderId="17" xfId="1" applyNumberFormat="1" applyFont="1" applyBorder="1" applyAlignment="1">
      <alignment horizontal="center" vertical="center" wrapText="1"/>
    </xf>
    <xf numFmtId="164" fontId="2" fillId="0" borderId="19" xfId="1" applyNumberFormat="1" applyFont="1" applyBorder="1" applyAlignment="1">
      <alignment horizontal="center" vertical="center" wrapText="1"/>
    </xf>
    <xf numFmtId="164" fontId="2" fillId="0" borderId="14" xfId="1" applyNumberFormat="1" applyFont="1" applyBorder="1" applyAlignment="1">
      <alignment vertical="center"/>
    </xf>
    <xf numFmtId="164" fontId="2" fillId="0" borderId="8" xfId="1" applyNumberFormat="1" applyFont="1" applyBorder="1" applyAlignment="1">
      <alignment horizontal="center"/>
    </xf>
    <xf numFmtId="164" fontId="2" fillId="0" borderId="18" xfId="1" applyNumberFormat="1" applyFont="1" applyBorder="1" applyAlignment="1">
      <alignment horizontal="center"/>
    </xf>
    <xf numFmtId="164" fontId="2" fillId="0" borderId="20" xfId="1" applyNumberFormat="1" applyFont="1" applyBorder="1" applyAlignment="1">
      <alignment horizontal="center"/>
    </xf>
    <xf numFmtId="164" fontId="2" fillId="0" borderId="15" xfId="1" applyNumberFormat="1" applyFont="1" applyBorder="1" applyAlignment="1">
      <alignment vertical="center"/>
    </xf>
    <xf numFmtId="164" fontId="2" fillId="0" borderId="9" xfId="1" applyNumberFormat="1" applyFont="1" applyBorder="1" applyAlignment="1">
      <alignment horizontal="center"/>
    </xf>
    <xf numFmtId="164" fontId="2" fillId="0" borderId="15" xfId="1" applyNumberFormat="1" applyFont="1" applyBorder="1" applyAlignment="1">
      <alignment horizontal="center"/>
    </xf>
    <xf numFmtId="164" fontId="2" fillId="0" borderId="16" xfId="1" applyNumberFormat="1" applyFont="1" applyBorder="1" applyAlignment="1">
      <alignment vertical="center"/>
    </xf>
    <xf numFmtId="164" fontId="2" fillId="0" borderId="6" xfId="1" applyNumberFormat="1" applyFont="1" applyBorder="1" applyAlignment="1">
      <alignment horizontal="center"/>
    </xf>
    <xf numFmtId="164" fontId="2" fillId="0" borderId="16" xfId="1" applyNumberFormat="1" applyFont="1" applyBorder="1" applyAlignment="1">
      <alignment horizontal="center"/>
    </xf>
    <xf numFmtId="164" fontId="2" fillId="0" borderId="11" xfId="1" applyNumberFormat="1" applyFont="1" applyBorder="1" applyAlignment="1">
      <alignment horizontal="center"/>
    </xf>
    <xf numFmtId="164" fontId="2" fillId="0" borderId="12" xfId="1" applyNumberFormat="1" applyFont="1" applyBorder="1" applyAlignment="1">
      <alignment horizontal="center"/>
    </xf>
    <xf numFmtId="164" fontId="2" fillId="0" borderId="13" xfId="1" applyNumberFormat="1" applyFont="1" applyBorder="1" applyAlignment="1">
      <alignment horizontal="center"/>
    </xf>
    <xf numFmtId="164" fontId="2" fillId="0" borderId="21" xfId="1" applyNumberFormat="1" applyFont="1" applyBorder="1" applyAlignment="1">
      <alignment vertical="center"/>
    </xf>
    <xf numFmtId="164" fontId="2" fillId="0" borderId="5" xfId="1" applyNumberFormat="1" applyFont="1" applyBorder="1" applyAlignment="1">
      <alignment horizontal="center"/>
    </xf>
    <xf numFmtId="164" fontId="2" fillId="0" borderId="21" xfId="1" applyNumberFormat="1" applyFont="1" applyBorder="1" applyAlignment="1">
      <alignment horizontal="center"/>
    </xf>
    <xf numFmtId="164" fontId="2" fillId="0" borderId="23" xfId="1" applyNumberFormat="1" applyFont="1" applyBorder="1" applyAlignment="1">
      <alignment horizontal="center"/>
    </xf>
    <xf numFmtId="164" fontId="2" fillId="0" borderId="24" xfId="1" applyNumberFormat="1" applyFont="1" applyBorder="1" applyAlignment="1">
      <alignment horizontal="center"/>
    </xf>
    <xf numFmtId="164" fontId="2" fillId="0" borderId="21" xfId="1" applyNumberFormat="1" applyFont="1" applyBorder="1" applyAlignment="1">
      <alignment horizontal="left" vertical="center"/>
    </xf>
    <xf numFmtId="164" fontId="2" fillId="0" borderId="5" xfId="1" applyNumberFormat="1" applyFont="1" applyBorder="1" applyAlignment="1">
      <alignment horizontal="left"/>
    </xf>
    <xf numFmtId="164" fontId="2" fillId="0" borderId="21" xfId="1" applyNumberFormat="1" applyFont="1" applyBorder="1" applyAlignment="1">
      <alignment horizontal="left"/>
    </xf>
    <xf numFmtId="164" fontId="2" fillId="0" borderId="23" xfId="1" applyNumberFormat="1" applyFont="1" applyBorder="1" applyAlignment="1">
      <alignment horizontal="left"/>
    </xf>
    <xf numFmtId="164" fontId="2" fillId="0" borderId="24" xfId="1" applyNumberFormat="1" applyFont="1" applyBorder="1" applyAlignment="1">
      <alignment horizontal="left"/>
    </xf>
    <xf numFmtId="164" fontId="2" fillId="0" borderId="15" xfId="1" applyNumberFormat="1" applyFont="1" applyBorder="1" applyAlignment="1">
      <alignment horizontal="left" vertical="center"/>
    </xf>
    <xf numFmtId="164" fontId="2" fillId="0" borderId="9" xfId="1" applyNumberFormat="1" applyFont="1" applyBorder="1" applyAlignment="1">
      <alignment horizontal="left"/>
    </xf>
    <xf numFmtId="164" fontId="2" fillId="0" borderId="15" xfId="1" applyNumberFormat="1" applyFont="1" applyBorder="1" applyAlignment="1">
      <alignment horizontal="left"/>
    </xf>
    <xf numFmtId="164" fontId="2" fillId="0" borderId="8" xfId="1" applyNumberFormat="1" applyFont="1" applyBorder="1" applyAlignment="1">
      <alignment horizontal="left"/>
    </xf>
    <xf numFmtId="164" fontId="2" fillId="0" borderId="18" xfId="1" applyNumberFormat="1" applyFont="1" applyBorder="1" applyAlignment="1">
      <alignment horizontal="left"/>
    </xf>
    <xf numFmtId="164" fontId="2" fillId="0" borderId="20" xfId="1" applyNumberFormat="1" applyFont="1" applyBorder="1" applyAlignment="1">
      <alignment horizontal="left"/>
    </xf>
    <xf numFmtId="164" fontId="2" fillId="0" borderId="16" xfId="1" applyNumberFormat="1" applyFont="1" applyBorder="1" applyAlignment="1">
      <alignment horizontal="left" vertical="center"/>
    </xf>
    <xf numFmtId="164" fontId="2" fillId="0" borderId="6" xfId="1" applyNumberFormat="1" applyFont="1" applyBorder="1" applyAlignment="1">
      <alignment horizontal="left"/>
    </xf>
    <xf numFmtId="164" fontId="2" fillId="0" borderId="16" xfId="1" applyNumberFormat="1" applyFont="1" applyBorder="1" applyAlignment="1">
      <alignment horizontal="left"/>
    </xf>
    <xf numFmtId="164" fontId="2" fillId="0" borderId="11" xfId="1" applyNumberFormat="1" applyFont="1" applyBorder="1" applyAlignment="1">
      <alignment horizontal="left"/>
    </xf>
    <xf numFmtId="164" fontId="2" fillId="0" borderId="12" xfId="1" applyNumberFormat="1" applyFont="1" applyBorder="1" applyAlignment="1">
      <alignment horizontal="left"/>
    </xf>
    <xf numFmtId="164" fontId="2" fillId="0" borderId="13" xfId="1" applyNumberFormat="1" applyFont="1" applyBorder="1" applyAlignment="1">
      <alignment horizontal="left"/>
    </xf>
    <xf numFmtId="164" fontId="0" fillId="0" borderId="0" xfId="0" applyNumberFormat="1"/>
    <xf numFmtId="164" fontId="2" fillId="2" borderId="22" xfId="1" applyNumberFormat="1" applyFont="1" applyFill="1" applyBorder="1" applyAlignment="1">
      <alignment horizontal="center"/>
    </xf>
    <xf numFmtId="164" fontId="2" fillId="2" borderId="19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4" fontId="2" fillId="2" borderId="2" xfId="1" applyNumberFormat="1" applyFont="1" applyFill="1" applyBorder="1" applyAlignment="1">
      <alignment horizontal="center"/>
    </xf>
    <xf numFmtId="164" fontId="2" fillId="2" borderId="3" xfId="1" applyNumberFormat="1" applyFont="1" applyFill="1" applyBorder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164" fontId="2" fillId="0" borderId="21" xfId="1" applyNumberFormat="1" applyFont="1" applyBorder="1" applyAlignment="1">
      <alignment horizontal="center" vertical="center" wrapText="1"/>
    </xf>
    <xf numFmtId="164" fontId="2" fillId="0" borderId="16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  <xf numFmtId="164" fontId="2" fillId="4" borderId="15" xfId="1" applyNumberFormat="1" applyFont="1" applyFill="1" applyBorder="1" applyAlignment="1">
      <alignment vertical="center"/>
    </xf>
    <xf numFmtId="164" fontId="2" fillId="4" borderId="9" xfId="1" applyNumberFormat="1" applyFont="1" applyFill="1" applyBorder="1" applyAlignment="1">
      <alignment horizontal="center"/>
    </xf>
    <xf numFmtId="164" fontId="2" fillId="4" borderId="15" xfId="1" applyNumberFormat="1" applyFont="1" applyFill="1" applyBorder="1" applyAlignment="1">
      <alignment horizontal="center"/>
    </xf>
    <xf numFmtId="164" fontId="2" fillId="4" borderId="8" xfId="1" applyNumberFormat="1" applyFont="1" applyFill="1" applyBorder="1" applyAlignment="1">
      <alignment horizontal="center"/>
    </xf>
    <xf numFmtId="164" fontId="2" fillId="4" borderId="18" xfId="1" applyNumberFormat="1" applyFont="1" applyFill="1" applyBorder="1" applyAlignment="1">
      <alignment horizontal="center"/>
    </xf>
    <xf numFmtId="164" fontId="2" fillId="4" borderId="20" xfId="1" applyNumberFormat="1" applyFont="1" applyFill="1" applyBorder="1" applyAlignment="1">
      <alignment horizontal="center"/>
    </xf>
    <xf numFmtId="164" fontId="2" fillId="4" borderId="1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/>
    </xf>
    <xf numFmtId="164" fontId="2" fillId="4" borderId="16" xfId="1" applyNumberFormat="1" applyFont="1" applyFill="1" applyBorder="1" applyAlignment="1">
      <alignment horizontal="center"/>
    </xf>
    <xf numFmtId="164" fontId="2" fillId="4" borderId="11" xfId="1" applyNumberFormat="1" applyFont="1" applyFill="1" applyBorder="1" applyAlignment="1">
      <alignment horizontal="center"/>
    </xf>
    <xf numFmtId="164" fontId="2" fillId="4" borderId="12" xfId="1" applyNumberFormat="1" applyFont="1" applyFill="1" applyBorder="1" applyAlignment="1">
      <alignment horizontal="center"/>
    </xf>
    <xf numFmtId="164" fontId="2" fillId="4" borderId="13" xfId="1" applyNumberFormat="1" applyFont="1" applyFill="1" applyBorder="1" applyAlignment="1">
      <alignment horizontal="center"/>
    </xf>
    <xf numFmtId="164" fontId="2" fillId="4" borderId="15" xfId="1" applyNumberFormat="1" applyFont="1" applyFill="1" applyBorder="1" applyAlignment="1">
      <alignment horizontal="left" vertical="center"/>
    </xf>
    <xf numFmtId="164" fontId="2" fillId="4" borderId="9" xfId="1" applyNumberFormat="1" applyFont="1" applyFill="1" applyBorder="1" applyAlignment="1">
      <alignment horizontal="left"/>
    </xf>
    <xf numFmtId="164" fontId="2" fillId="4" borderId="15" xfId="1" applyNumberFormat="1" applyFont="1" applyFill="1" applyBorder="1" applyAlignment="1">
      <alignment horizontal="left"/>
    </xf>
    <xf numFmtId="164" fontId="2" fillId="4" borderId="8" xfId="1" applyNumberFormat="1" applyFont="1" applyFill="1" applyBorder="1" applyAlignment="1">
      <alignment horizontal="left"/>
    </xf>
    <xf numFmtId="164" fontId="2" fillId="4" borderId="18" xfId="1" applyNumberFormat="1" applyFont="1" applyFill="1" applyBorder="1" applyAlignment="1">
      <alignment horizontal="left"/>
    </xf>
    <xf numFmtId="164" fontId="2" fillId="4" borderId="20" xfId="1" applyNumberFormat="1" applyFont="1" applyFill="1" applyBorder="1" applyAlignment="1">
      <alignment horizontal="left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A0E2F6"/>
      <color rgb="FFFAA290"/>
      <color rgb="FFEFB3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23"/>
  <sheetViews>
    <sheetView workbookViewId="0">
      <selection activeCell="C11" sqref="C11"/>
    </sheetView>
  </sheetViews>
  <sheetFormatPr defaultRowHeight="15" x14ac:dyDescent="0.25"/>
  <cols>
    <col min="1" max="1" width="6.42578125" style="1" customWidth="1"/>
    <col min="2" max="10" width="12.85546875" customWidth="1"/>
  </cols>
  <sheetData>
    <row r="1" spans="1:10" ht="23.25" x14ac:dyDescent="0.35">
      <c r="A1" s="47" t="s">
        <v>9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38.2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2">
        <v>1</v>
      </c>
      <c r="B5" s="23">
        <v>24750</v>
      </c>
      <c r="C5" s="24">
        <v>40500</v>
      </c>
      <c r="D5" s="23">
        <f>C5-E5</f>
        <v>4025</v>
      </c>
      <c r="E5" s="24">
        <v>36475</v>
      </c>
      <c r="F5" s="25">
        <f>C5:C23</f>
        <v>40500</v>
      </c>
      <c r="G5" s="23">
        <f>F5-H5+1</f>
        <v>2013</v>
      </c>
      <c r="H5" s="24">
        <v>38488</v>
      </c>
      <c r="I5" s="26">
        <v>0</v>
      </c>
      <c r="J5" s="26">
        <f>F5</f>
        <v>40500</v>
      </c>
    </row>
    <row r="6" spans="1:10" x14ac:dyDescent="0.25">
      <c r="A6" s="13">
        <v>2</v>
      </c>
      <c r="B6" s="14">
        <v>25000</v>
      </c>
      <c r="C6" s="15">
        <f>C5+450</f>
        <v>40950</v>
      </c>
      <c r="D6" s="10">
        <f t="shared" ref="D6:D23" si="0">C6-E6</f>
        <v>4165</v>
      </c>
      <c r="E6" s="15">
        <f>E5+310</f>
        <v>36785</v>
      </c>
      <c r="F6" s="11">
        <f>C6:C23</f>
        <v>40950</v>
      </c>
      <c r="G6" s="10">
        <f t="shared" ref="G6:G23" si="1">F6-H6+1</f>
        <v>2083</v>
      </c>
      <c r="H6" s="15">
        <f>H5+380</f>
        <v>38868</v>
      </c>
      <c r="I6" s="12">
        <v>0</v>
      </c>
      <c r="J6" s="12">
        <f t="shared" ref="J6:J23" si="2">F6</f>
        <v>40950</v>
      </c>
    </row>
    <row r="7" spans="1:10" x14ac:dyDescent="0.25">
      <c r="A7" s="13">
        <v>3</v>
      </c>
      <c r="B7" s="14">
        <v>25250</v>
      </c>
      <c r="C7" s="15">
        <f t="shared" ref="C7:C23" si="3">C6+450</f>
        <v>41400</v>
      </c>
      <c r="D7" s="10">
        <f t="shared" si="0"/>
        <v>4305</v>
      </c>
      <c r="E7" s="15">
        <f>E6+310</f>
        <v>37095</v>
      </c>
      <c r="F7" s="11">
        <f>C7:C23</f>
        <v>41400</v>
      </c>
      <c r="G7" s="10">
        <f t="shared" si="1"/>
        <v>2153</v>
      </c>
      <c r="H7" s="15">
        <f t="shared" ref="H7:H23" si="4">H6+380</f>
        <v>39248</v>
      </c>
      <c r="I7" s="12">
        <v>0</v>
      </c>
      <c r="J7" s="12">
        <f t="shared" si="2"/>
        <v>41400</v>
      </c>
    </row>
    <row r="8" spans="1:10" x14ac:dyDescent="0.25">
      <c r="A8" s="13">
        <v>4</v>
      </c>
      <c r="B8" s="14">
        <v>25500</v>
      </c>
      <c r="C8" s="15">
        <f t="shared" si="3"/>
        <v>41850</v>
      </c>
      <c r="D8" s="10">
        <f t="shared" si="0"/>
        <v>4445</v>
      </c>
      <c r="E8" s="15">
        <f t="shared" ref="E8:E23" si="5">E7+310</f>
        <v>37405</v>
      </c>
      <c r="F8" s="11">
        <f>C8:C23</f>
        <v>41850</v>
      </c>
      <c r="G8" s="10">
        <f t="shared" si="1"/>
        <v>2223</v>
      </c>
      <c r="H8" s="15">
        <f t="shared" si="4"/>
        <v>39628</v>
      </c>
      <c r="I8" s="12">
        <v>0</v>
      </c>
      <c r="J8" s="12">
        <f t="shared" si="2"/>
        <v>41850</v>
      </c>
    </row>
    <row r="9" spans="1:10" x14ac:dyDescent="0.25">
      <c r="A9" s="13">
        <v>5</v>
      </c>
      <c r="B9" s="14">
        <f>B8+250</f>
        <v>25750</v>
      </c>
      <c r="C9" s="15">
        <f t="shared" si="3"/>
        <v>42300</v>
      </c>
      <c r="D9" s="10">
        <f t="shared" si="0"/>
        <v>4585</v>
      </c>
      <c r="E9" s="15">
        <f t="shared" si="5"/>
        <v>37715</v>
      </c>
      <c r="F9" s="11">
        <f>C9:C23</f>
        <v>42300</v>
      </c>
      <c r="G9" s="10">
        <f t="shared" si="1"/>
        <v>2293</v>
      </c>
      <c r="H9" s="15">
        <f t="shared" si="4"/>
        <v>40008</v>
      </c>
      <c r="I9" s="12">
        <v>0</v>
      </c>
      <c r="J9" s="12">
        <f t="shared" si="2"/>
        <v>42300</v>
      </c>
    </row>
    <row r="10" spans="1:10" x14ac:dyDescent="0.25">
      <c r="A10" s="13">
        <v>6</v>
      </c>
      <c r="B10" s="14">
        <f>B9+250</f>
        <v>26000</v>
      </c>
      <c r="C10" s="15">
        <f t="shared" si="3"/>
        <v>42750</v>
      </c>
      <c r="D10" s="10">
        <f t="shared" si="0"/>
        <v>4725</v>
      </c>
      <c r="E10" s="15">
        <f t="shared" si="5"/>
        <v>38025</v>
      </c>
      <c r="F10" s="11">
        <f>C10:C23</f>
        <v>42750</v>
      </c>
      <c r="G10" s="10">
        <f t="shared" si="1"/>
        <v>2363</v>
      </c>
      <c r="H10" s="15">
        <f t="shared" si="4"/>
        <v>40388</v>
      </c>
      <c r="I10" s="12">
        <v>0</v>
      </c>
      <c r="J10" s="12">
        <f t="shared" si="2"/>
        <v>42750</v>
      </c>
    </row>
    <row r="11" spans="1:10" x14ac:dyDescent="0.25">
      <c r="A11" s="13">
        <v>7</v>
      </c>
      <c r="B11" s="14">
        <f>B10+250</f>
        <v>26250</v>
      </c>
      <c r="C11" s="15">
        <f t="shared" si="3"/>
        <v>43200</v>
      </c>
      <c r="D11" s="10">
        <f t="shared" si="0"/>
        <v>4865</v>
      </c>
      <c r="E11" s="15">
        <f t="shared" si="5"/>
        <v>38335</v>
      </c>
      <c r="F11" s="11">
        <f>C11:C23</f>
        <v>43200</v>
      </c>
      <c r="G11" s="10">
        <f t="shared" si="1"/>
        <v>2433</v>
      </c>
      <c r="H11" s="15">
        <f t="shared" si="4"/>
        <v>40768</v>
      </c>
      <c r="I11" s="12">
        <v>0</v>
      </c>
      <c r="J11" s="12">
        <f t="shared" si="2"/>
        <v>43200</v>
      </c>
    </row>
    <row r="12" spans="1:10" x14ac:dyDescent="0.25">
      <c r="A12" s="13">
        <v>8</v>
      </c>
      <c r="B12" s="14">
        <f t="shared" ref="B12:B23" si="6">B11+250</f>
        <v>26500</v>
      </c>
      <c r="C12" s="15">
        <f t="shared" si="3"/>
        <v>43650</v>
      </c>
      <c r="D12" s="10">
        <f t="shared" si="0"/>
        <v>5005</v>
      </c>
      <c r="E12" s="15">
        <f t="shared" si="5"/>
        <v>38645</v>
      </c>
      <c r="F12" s="11">
        <f>C12:C23</f>
        <v>43650</v>
      </c>
      <c r="G12" s="10">
        <f t="shared" si="1"/>
        <v>2503</v>
      </c>
      <c r="H12" s="15">
        <f t="shared" si="4"/>
        <v>41148</v>
      </c>
      <c r="I12" s="12">
        <v>0</v>
      </c>
      <c r="J12" s="12">
        <f t="shared" si="2"/>
        <v>43650</v>
      </c>
    </row>
    <row r="13" spans="1:10" x14ac:dyDescent="0.25">
      <c r="A13" s="9">
        <v>9</v>
      </c>
      <c r="B13" s="14">
        <f t="shared" si="6"/>
        <v>26750</v>
      </c>
      <c r="C13" s="15">
        <f t="shared" si="3"/>
        <v>44100</v>
      </c>
      <c r="D13" s="10">
        <f t="shared" si="0"/>
        <v>5145</v>
      </c>
      <c r="E13" s="15">
        <f t="shared" si="5"/>
        <v>38955</v>
      </c>
      <c r="F13" s="11">
        <f>C13:C23</f>
        <v>44100</v>
      </c>
      <c r="G13" s="10">
        <f t="shared" si="1"/>
        <v>2573</v>
      </c>
      <c r="H13" s="15">
        <f t="shared" si="4"/>
        <v>41528</v>
      </c>
      <c r="I13" s="12">
        <v>0</v>
      </c>
      <c r="J13" s="12">
        <f t="shared" si="2"/>
        <v>44100</v>
      </c>
    </row>
    <row r="14" spans="1:10" x14ac:dyDescent="0.25">
      <c r="A14" s="13">
        <v>10</v>
      </c>
      <c r="B14" s="14">
        <f t="shared" si="6"/>
        <v>27000</v>
      </c>
      <c r="C14" s="15">
        <f t="shared" si="3"/>
        <v>44550</v>
      </c>
      <c r="D14" s="10">
        <f t="shared" si="0"/>
        <v>5285</v>
      </c>
      <c r="E14" s="15">
        <f t="shared" si="5"/>
        <v>39265</v>
      </c>
      <c r="F14" s="11">
        <f>C14:C23</f>
        <v>44550</v>
      </c>
      <c r="G14" s="10">
        <f t="shared" si="1"/>
        <v>2643</v>
      </c>
      <c r="H14" s="15">
        <f t="shared" si="4"/>
        <v>41908</v>
      </c>
      <c r="I14" s="12">
        <v>0</v>
      </c>
      <c r="J14" s="12">
        <f t="shared" si="2"/>
        <v>44550</v>
      </c>
    </row>
    <row r="15" spans="1:10" x14ac:dyDescent="0.25">
      <c r="A15" s="13">
        <v>11</v>
      </c>
      <c r="B15" s="14">
        <f t="shared" si="6"/>
        <v>27250</v>
      </c>
      <c r="C15" s="15">
        <f t="shared" si="3"/>
        <v>45000</v>
      </c>
      <c r="D15" s="10">
        <f t="shared" si="0"/>
        <v>5425</v>
      </c>
      <c r="E15" s="15">
        <f t="shared" si="5"/>
        <v>39575</v>
      </c>
      <c r="F15" s="11">
        <f t="shared" ref="F15:F23" si="7">C15:C23</f>
        <v>45000</v>
      </c>
      <c r="G15" s="10">
        <f t="shared" si="1"/>
        <v>2713</v>
      </c>
      <c r="H15" s="15">
        <f t="shared" si="4"/>
        <v>42288</v>
      </c>
      <c r="I15" s="12">
        <v>0</v>
      </c>
      <c r="J15" s="12">
        <f t="shared" si="2"/>
        <v>45000</v>
      </c>
    </row>
    <row r="16" spans="1:10" x14ac:dyDescent="0.25">
      <c r="A16" s="13">
        <v>12</v>
      </c>
      <c r="B16" s="14">
        <f t="shared" si="6"/>
        <v>27500</v>
      </c>
      <c r="C16" s="15">
        <f t="shared" si="3"/>
        <v>45450</v>
      </c>
      <c r="D16" s="10">
        <f t="shared" si="0"/>
        <v>5565</v>
      </c>
      <c r="E16" s="15">
        <f t="shared" si="5"/>
        <v>39885</v>
      </c>
      <c r="F16" s="11">
        <f t="shared" si="7"/>
        <v>45450</v>
      </c>
      <c r="G16" s="10">
        <f t="shared" si="1"/>
        <v>2783</v>
      </c>
      <c r="H16" s="15">
        <f t="shared" si="4"/>
        <v>42668</v>
      </c>
      <c r="I16" s="12">
        <v>0</v>
      </c>
      <c r="J16" s="12">
        <f t="shared" si="2"/>
        <v>45450</v>
      </c>
    </row>
    <row r="17" spans="1:10" x14ac:dyDescent="0.25">
      <c r="A17" s="13">
        <v>13</v>
      </c>
      <c r="B17" s="14">
        <f t="shared" si="6"/>
        <v>27750</v>
      </c>
      <c r="C17" s="15">
        <f t="shared" si="3"/>
        <v>45900</v>
      </c>
      <c r="D17" s="10">
        <f t="shared" si="0"/>
        <v>5705</v>
      </c>
      <c r="E17" s="15">
        <f t="shared" si="5"/>
        <v>40195</v>
      </c>
      <c r="F17" s="11">
        <f t="shared" si="7"/>
        <v>45900</v>
      </c>
      <c r="G17" s="10">
        <f t="shared" si="1"/>
        <v>2853</v>
      </c>
      <c r="H17" s="15">
        <f t="shared" si="4"/>
        <v>43048</v>
      </c>
      <c r="I17" s="12">
        <v>0</v>
      </c>
      <c r="J17" s="12">
        <f t="shared" si="2"/>
        <v>45900</v>
      </c>
    </row>
    <row r="18" spans="1:10" x14ac:dyDescent="0.25">
      <c r="A18" s="13">
        <v>14</v>
      </c>
      <c r="B18" s="14">
        <f t="shared" si="6"/>
        <v>28000</v>
      </c>
      <c r="C18" s="15">
        <f t="shared" si="3"/>
        <v>46350</v>
      </c>
      <c r="D18" s="10">
        <f t="shared" si="0"/>
        <v>5845</v>
      </c>
      <c r="E18" s="15">
        <f t="shared" si="5"/>
        <v>40505</v>
      </c>
      <c r="F18" s="11">
        <f t="shared" si="7"/>
        <v>46350</v>
      </c>
      <c r="G18" s="10">
        <f t="shared" si="1"/>
        <v>2923</v>
      </c>
      <c r="H18" s="15">
        <f t="shared" si="4"/>
        <v>43428</v>
      </c>
      <c r="I18" s="12">
        <v>0</v>
      </c>
      <c r="J18" s="12">
        <f t="shared" si="2"/>
        <v>46350</v>
      </c>
    </row>
    <row r="19" spans="1:10" x14ac:dyDescent="0.25">
      <c r="A19" s="13">
        <v>15</v>
      </c>
      <c r="B19" s="14">
        <f t="shared" si="6"/>
        <v>28250</v>
      </c>
      <c r="C19" s="15">
        <f t="shared" si="3"/>
        <v>46800</v>
      </c>
      <c r="D19" s="10">
        <f t="shared" si="0"/>
        <v>5985</v>
      </c>
      <c r="E19" s="15">
        <f t="shared" si="5"/>
        <v>40815</v>
      </c>
      <c r="F19" s="11">
        <f t="shared" si="7"/>
        <v>46800</v>
      </c>
      <c r="G19" s="10">
        <f t="shared" si="1"/>
        <v>2993</v>
      </c>
      <c r="H19" s="15">
        <f t="shared" si="4"/>
        <v>43808</v>
      </c>
      <c r="I19" s="12">
        <v>0</v>
      </c>
      <c r="J19" s="12">
        <f t="shared" si="2"/>
        <v>46800</v>
      </c>
    </row>
    <row r="20" spans="1:10" x14ac:dyDescent="0.25">
      <c r="A20" s="13">
        <v>16</v>
      </c>
      <c r="B20" s="14">
        <f t="shared" si="6"/>
        <v>28500</v>
      </c>
      <c r="C20" s="15">
        <f t="shared" si="3"/>
        <v>47250</v>
      </c>
      <c r="D20" s="10">
        <f t="shared" si="0"/>
        <v>6125</v>
      </c>
      <c r="E20" s="15">
        <f t="shared" si="5"/>
        <v>41125</v>
      </c>
      <c r="F20" s="11">
        <f t="shared" si="7"/>
        <v>47250</v>
      </c>
      <c r="G20" s="10">
        <f t="shared" si="1"/>
        <v>3063</v>
      </c>
      <c r="H20" s="15">
        <f t="shared" si="4"/>
        <v>44188</v>
      </c>
      <c r="I20" s="12">
        <v>0</v>
      </c>
      <c r="J20" s="12">
        <f t="shared" si="2"/>
        <v>47250</v>
      </c>
    </row>
    <row r="21" spans="1:10" x14ac:dyDescent="0.25">
      <c r="A21" s="9">
        <v>17</v>
      </c>
      <c r="B21" s="14">
        <f t="shared" si="6"/>
        <v>28750</v>
      </c>
      <c r="C21" s="15">
        <f t="shared" si="3"/>
        <v>47700</v>
      </c>
      <c r="D21" s="10">
        <f t="shared" si="0"/>
        <v>6265</v>
      </c>
      <c r="E21" s="15">
        <f t="shared" si="5"/>
        <v>41435</v>
      </c>
      <c r="F21" s="11">
        <f t="shared" si="7"/>
        <v>47700</v>
      </c>
      <c r="G21" s="10">
        <f t="shared" si="1"/>
        <v>3133</v>
      </c>
      <c r="H21" s="15">
        <f t="shared" si="4"/>
        <v>44568</v>
      </c>
      <c r="I21" s="12">
        <v>0</v>
      </c>
      <c r="J21" s="12">
        <f t="shared" si="2"/>
        <v>47700</v>
      </c>
    </row>
    <row r="22" spans="1:10" x14ac:dyDescent="0.25">
      <c r="A22" s="9">
        <v>18</v>
      </c>
      <c r="B22" s="14">
        <f t="shared" si="6"/>
        <v>29000</v>
      </c>
      <c r="C22" s="15">
        <f t="shared" si="3"/>
        <v>48150</v>
      </c>
      <c r="D22" s="10">
        <f t="shared" si="0"/>
        <v>6405</v>
      </c>
      <c r="E22" s="15">
        <f t="shared" si="5"/>
        <v>41745</v>
      </c>
      <c r="F22" s="11">
        <f t="shared" si="7"/>
        <v>48150</v>
      </c>
      <c r="G22" s="10">
        <f t="shared" si="1"/>
        <v>3203</v>
      </c>
      <c r="H22" s="15">
        <f t="shared" si="4"/>
        <v>44948</v>
      </c>
      <c r="I22" s="12">
        <v>0</v>
      </c>
      <c r="J22" s="12">
        <f t="shared" si="2"/>
        <v>48150</v>
      </c>
    </row>
    <row r="23" spans="1:10" ht="15.75" thickBot="1" x14ac:dyDescent="0.3">
      <c r="A23" s="16">
        <v>19</v>
      </c>
      <c r="B23" s="17">
        <f t="shared" si="6"/>
        <v>29250</v>
      </c>
      <c r="C23" s="18">
        <f t="shared" si="3"/>
        <v>48600</v>
      </c>
      <c r="D23" s="19">
        <f t="shared" si="0"/>
        <v>6545</v>
      </c>
      <c r="E23" s="18">
        <f t="shared" si="5"/>
        <v>42055</v>
      </c>
      <c r="F23" s="20">
        <f t="shared" si="7"/>
        <v>48600</v>
      </c>
      <c r="G23" s="19">
        <f t="shared" si="1"/>
        <v>3273</v>
      </c>
      <c r="H23" s="18">
        <f t="shared" si="4"/>
        <v>45328</v>
      </c>
      <c r="I23" s="21">
        <v>0</v>
      </c>
      <c r="J23" s="21">
        <f t="shared" si="2"/>
        <v>48600</v>
      </c>
    </row>
  </sheetData>
  <mergeCells count="6">
    <mergeCell ref="I3:J3"/>
    <mergeCell ref="A1:J1"/>
    <mergeCell ref="C3:E3"/>
    <mergeCell ref="F3:H3"/>
    <mergeCell ref="A3:A4"/>
    <mergeCell ref="B3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38"/>
  <sheetViews>
    <sheetView workbookViewId="0">
      <selection activeCell="B5" sqref="B5"/>
    </sheetView>
  </sheetViews>
  <sheetFormatPr defaultRowHeight="15" x14ac:dyDescent="0.25"/>
  <cols>
    <col min="2" max="10" width="14.42578125" customWidth="1"/>
  </cols>
  <sheetData>
    <row r="1" spans="1:10" ht="23.25" x14ac:dyDescent="0.35">
      <c r="A1" s="47" t="s">
        <v>10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38.2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2">
        <v>12</v>
      </c>
      <c r="B5" s="23">
        <v>27520</v>
      </c>
      <c r="C5" s="24">
        <v>45490</v>
      </c>
      <c r="D5" s="23">
        <f>C5-E5</f>
        <v>5579</v>
      </c>
      <c r="E5" s="24">
        <f>39911</f>
        <v>39911</v>
      </c>
      <c r="F5" s="25">
        <f>C5</f>
        <v>45490</v>
      </c>
      <c r="G5" s="23">
        <f>F5-H5+1</f>
        <v>2790</v>
      </c>
      <c r="H5" s="24">
        <v>42701</v>
      </c>
      <c r="I5" s="26">
        <v>0</v>
      </c>
      <c r="J5" s="26">
        <f>F5</f>
        <v>45490</v>
      </c>
    </row>
    <row r="6" spans="1:10" x14ac:dyDescent="0.25">
      <c r="A6" s="13">
        <v>13</v>
      </c>
      <c r="B6" s="14">
        <f>B5+270</f>
        <v>27790</v>
      </c>
      <c r="C6" s="15">
        <f>C5+490</f>
        <v>45980</v>
      </c>
      <c r="D6" s="10">
        <f t="shared" ref="D6:D19" si="0">C6-E6</f>
        <v>5733</v>
      </c>
      <c r="E6" s="15">
        <f>E5+336</f>
        <v>40247</v>
      </c>
      <c r="F6" s="11">
        <f t="shared" ref="F6:F19" si="1">C6</f>
        <v>45980</v>
      </c>
      <c r="G6" s="10">
        <f t="shared" ref="G6:G19" si="2">F6-H6+1</f>
        <v>2867</v>
      </c>
      <c r="H6" s="15">
        <f>H5+413</f>
        <v>43114</v>
      </c>
      <c r="I6" s="12">
        <v>0</v>
      </c>
      <c r="J6" s="12">
        <f t="shared" ref="J6:J19" si="3">F6</f>
        <v>45980</v>
      </c>
    </row>
    <row r="7" spans="1:10" x14ac:dyDescent="0.25">
      <c r="A7" s="13">
        <v>14</v>
      </c>
      <c r="B7" s="14">
        <f t="shared" ref="B7:B38" si="4">B6+270</f>
        <v>28060</v>
      </c>
      <c r="C7" s="15">
        <f t="shared" ref="C7:C38" si="5">C6+490</f>
        <v>46470</v>
      </c>
      <c r="D7" s="10">
        <f t="shared" si="0"/>
        <v>5887</v>
      </c>
      <c r="E7" s="15">
        <f t="shared" ref="E7:E38" si="6">E6+336</f>
        <v>40583</v>
      </c>
      <c r="F7" s="11">
        <f t="shared" si="1"/>
        <v>46470</v>
      </c>
      <c r="G7" s="10">
        <f t="shared" si="2"/>
        <v>2944</v>
      </c>
      <c r="H7" s="15">
        <f t="shared" ref="H7:H38" si="7">H6+413</f>
        <v>43527</v>
      </c>
      <c r="I7" s="12">
        <v>0</v>
      </c>
      <c r="J7" s="12">
        <f t="shared" si="3"/>
        <v>46470</v>
      </c>
    </row>
    <row r="8" spans="1:10" x14ac:dyDescent="0.25">
      <c r="A8" s="13">
        <v>15</v>
      </c>
      <c r="B8" s="14">
        <f t="shared" si="4"/>
        <v>28330</v>
      </c>
      <c r="C8" s="15">
        <f t="shared" si="5"/>
        <v>46960</v>
      </c>
      <c r="D8" s="10">
        <f t="shared" si="0"/>
        <v>6041</v>
      </c>
      <c r="E8" s="15">
        <f t="shared" si="6"/>
        <v>40919</v>
      </c>
      <c r="F8" s="11">
        <f t="shared" si="1"/>
        <v>46960</v>
      </c>
      <c r="G8" s="10">
        <f t="shared" si="2"/>
        <v>3021</v>
      </c>
      <c r="H8" s="15">
        <f t="shared" si="7"/>
        <v>43940</v>
      </c>
      <c r="I8" s="12">
        <v>0</v>
      </c>
      <c r="J8" s="12">
        <f t="shared" si="3"/>
        <v>46960</v>
      </c>
    </row>
    <row r="9" spans="1:10" x14ac:dyDescent="0.25">
      <c r="A9" s="13">
        <v>16</v>
      </c>
      <c r="B9" s="14">
        <f t="shared" si="4"/>
        <v>28600</v>
      </c>
      <c r="C9" s="15">
        <f t="shared" si="5"/>
        <v>47450</v>
      </c>
      <c r="D9" s="10">
        <f t="shared" si="0"/>
        <v>6195</v>
      </c>
      <c r="E9" s="15">
        <f t="shared" si="6"/>
        <v>41255</v>
      </c>
      <c r="F9" s="11">
        <f t="shared" si="1"/>
        <v>47450</v>
      </c>
      <c r="G9" s="10">
        <f t="shared" si="2"/>
        <v>3098</v>
      </c>
      <c r="H9" s="15">
        <f t="shared" si="7"/>
        <v>44353</v>
      </c>
      <c r="I9" s="12">
        <v>0</v>
      </c>
      <c r="J9" s="12">
        <f t="shared" si="3"/>
        <v>47450</v>
      </c>
    </row>
    <row r="10" spans="1:10" x14ac:dyDescent="0.25">
      <c r="A10" s="13">
        <v>17</v>
      </c>
      <c r="B10" s="14">
        <f t="shared" si="4"/>
        <v>28870</v>
      </c>
      <c r="C10" s="15">
        <f t="shared" si="5"/>
        <v>47940</v>
      </c>
      <c r="D10" s="10">
        <f t="shared" si="0"/>
        <v>6349</v>
      </c>
      <c r="E10" s="15">
        <f t="shared" si="6"/>
        <v>41591</v>
      </c>
      <c r="F10" s="11">
        <f t="shared" si="1"/>
        <v>47940</v>
      </c>
      <c r="G10" s="10">
        <f t="shared" si="2"/>
        <v>3175</v>
      </c>
      <c r="H10" s="15">
        <f t="shared" si="7"/>
        <v>44766</v>
      </c>
      <c r="I10" s="12">
        <v>0</v>
      </c>
      <c r="J10" s="12">
        <f t="shared" si="3"/>
        <v>47940</v>
      </c>
    </row>
    <row r="11" spans="1:10" x14ac:dyDescent="0.25">
      <c r="A11" s="13">
        <v>18</v>
      </c>
      <c r="B11" s="14">
        <f t="shared" si="4"/>
        <v>29140</v>
      </c>
      <c r="C11" s="15">
        <f t="shared" si="5"/>
        <v>48430</v>
      </c>
      <c r="D11" s="10">
        <f t="shared" si="0"/>
        <v>6503</v>
      </c>
      <c r="E11" s="15">
        <f t="shared" si="6"/>
        <v>41927</v>
      </c>
      <c r="F11" s="11">
        <f t="shared" si="1"/>
        <v>48430</v>
      </c>
      <c r="G11" s="10">
        <f t="shared" si="2"/>
        <v>3252</v>
      </c>
      <c r="H11" s="15">
        <f t="shared" si="7"/>
        <v>45179</v>
      </c>
      <c r="I11" s="12">
        <v>0</v>
      </c>
      <c r="J11" s="12">
        <f t="shared" si="3"/>
        <v>48430</v>
      </c>
    </row>
    <row r="12" spans="1:10" x14ac:dyDescent="0.25">
      <c r="A12" s="13">
        <v>19</v>
      </c>
      <c r="B12" s="14">
        <f t="shared" si="4"/>
        <v>29410</v>
      </c>
      <c r="C12" s="15">
        <f t="shared" si="5"/>
        <v>48920</v>
      </c>
      <c r="D12" s="10">
        <f t="shared" si="0"/>
        <v>6657</v>
      </c>
      <c r="E12" s="15">
        <f t="shared" si="6"/>
        <v>42263</v>
      </c>
      <c r="F12" s="11">
        <f t="shared" si="1"/>
        <v>48920</v>
      </c>
      <c r="G12" s="10">
        <f t="shared" si="2"/>
        <v>3329</v>
      </c>
      <c r="H12" s="15">
        <f t="shared" si="7"/>
        <v>45592</v>
      </c>
      <c r="I12" s="12">
        <v>0</v>
      </c>
      <c r="J12" s="12">
        <f t="shared" si="3"/>
        <v>48920</v>
      </c>
    </row>
    <row r="13" spans="1:10" x14ac:dyDescent="0.25">
      <c r="A13" s="9">
        <v>20</v>
      </c>
      <c r="B13" s="14">
        <f t="shared" si="4"/>
        <v>29680</v>
      </c>
      <c r="C13" s="15">
        <f t="shared" si="5"/>
        <v>49410</v>
      </c>
      <c r="D13" s="10">
        <f t="shared" si="0"/>
        <v>6811</v>
      </c>
      <c r="E13" s="15">
        <f t="shared" si="6"/>
        <v>42599</v>
      </c>
      <c r="F13" s="11">
        <f t="shared" si="1"/>
        <v>49410</v>
      </c>
      <c r="G13" s="10">
        <f t="shared" si="2"/>
        <v>3406</v>
      </c>
      <c r="H13" s="15">
        <f t="shared" si="7"/>
        <v>46005</v>
      </c>
      <c r="I13" s="12">
        <v>0</v>
      </c>
      <c r="J13" s="12">
        <f t="shared" si="3"/>
        <v>49410</v>
      </c>
    </row>
    <row r="14" spans="1:10" x14ac:dyDescent="0.25">
      <c r="A14" s="13">
        <v>21</v>
      </c>
      <c r="B14" s="14">
        <f t="shared" si="4"/>
        <v>29950</v>
      </c>
      <c r="C14" s="15">
        <f t="shared" si="5"/>
        <v>49900</v>
      </c>
      <c r="D14" s="10">
        <f t="shared" si="0"/>
        <v>6965</v>
      </c>
      <c r="E14" s="15">
        <f t="shared" si="6"/>
        <v>42935</v>
      </c>
      <c r="F14" s="11">
        <f t="shared" si="1"/>
        <v>49900</v>
      </c>
      <c r="G14" s="10">
        <f t="shared" si="2"/>
        <v>3483</v>
      </c>
      <c r="H14" s="15">
        <f t="shared" si="7"/>
        <v>46418</v>
      </c>
      <c r="I14" s="12">
        <v>0</v>
      </c>
      <c r="J14" s="12">
        <f t="shared" si="3"/>
        <v>49900</v>
      </c>
    </row>
    <row r="15" spans="1:10" x14ac:dyDescent="0.25">
      <c r="A15" s="13">
        <v>22</v>
      </c>
      <c r="B15" s="14">
        <f t="shared" si="4"/>
        <v>30220</v>
      </c>
      <c r="C15" s="15">
        <f t="shared" si="5"/>
        <v>50390</v>
      </c>
      <c r="D15" s="10">
        <f t="shared" si="0"/>
        <v>7119</v>
      </c>
      <c r="E15" s="15">
        <f t="shared" si="6"/>
        <v>43271</v>
      </c>
      <c r="F15" s="11">
        <f t="shared" si="1"/>
        <v>50390</v>
      </c>
      <c r="G15" s="10">
        <f t="shared" si="2"/>
        <v>3560</v>
      </c>
      <c r="H15" s="15">
        <f t="shared" si="7"/>
        <v>46831</v>
      </c>
      <c r="I15" s="12">
        <v>0</v>
      </c>
      <c r="J15" s="12">
        <f t="shared" si="3"/>
        <v>50390</v>
      </c>
    </row>
    <row r="16" spans="1:10" x14ac:dyDescent="0.25">
      <c r="A16" s="13">
        <v>23</v>
      </c>
      <c r="B16" s="14">
        <f t="shared" si="4"/>
        <v>30490</v>
      </c>
      <c r="C16" s="15">
        <f t="shared" si="5"/>
        <v>50880</v>
      </c>
      <c r="D16" s="10">
        <f t="shared" si="0"/>
        <v>7273</v>
      </c>
      <c r="E16" s="15">
        <f t="shared" si="6"/>
        <v>43607</v>
      </c>
      <c r="F16" s="11">
        <f t="shared" si="1"/>
        <v>50880</v>
      </c>
      <c r="G16" s="10">
        <f t="shared" si="2"/>
        <v>3637</v>
      </c>
      <c r="H16" s="15">
        <f t="shared" si="7"/>
        <v>47244</v>
      </c>
      <c r="I16" s="12">
        <v>0</v>
      </c>
      <c r="J16" s="12">
        <f t="shared" si="3"/>
        <v>50880</v>
      </c>
    </row>
    <row r="17" spans="1:10" x14ac:dyDescent="0.25">
      <c r="A17" s="13">
        <v>24</v>
      </c>
      <c r="B17" s="14">
        <f t="shared" si="4"/>
        <v>30760</v>
      </c>
      <c r="C17" s="15">
        <f t="shared" si="5"/>
        <v>51370</v>
      </c>
      <c r="D17" s="10">
        <f t="shared" si="0"/>
        <v>7427</v>
      </c>
      <c r="E17" s="15">
        <f t="shared" si="6"/>
        <v>43943</v>
      </c>
      <c r="F17" s="11">
        <f t="shared" si="1"/>
        <v>51370</v>
      </c>
      <c r="G17" s="10">
        <f t="shared" si="2"/>
        <v>3714</v>
      </c>
      <c r="H17" s="15">
        <f t="shared" si="7"/>
        <v>47657</v>
      </c>
      <c r="I17" s="12">
        <v>0</v>
      </c>
      <c r="J17" s="12">
        <f t="shared" si="3"/>
        <v>51370</v>
      </c>
    </row>
    <row r="18" spans="1:10" x14ac:dyDescent="0.25">
      <c r="A18" s="13">
        <v>25</v>
      </c>
      <c r="B18" s="14">
        <f t="shared" si="4"/>
        <v>31030</v>
      </c>
      <c r="C18" s="15">
        <f t="shared" si="5"/>
        <v>51860</v>
      </c>
      <c r="D18" s="10">
        <f t="shared" si="0"/>
        <v>7581</v>
      </c>
      <c r="E18" s="15">
        <f t="shared" si="6"/>
        <v>44279</v>
      </c>
      <c r="F18" s="11">
        <f t="shared" si="1"/>
        <v>51860</v>
      </c>
      <c r="G18" s="10">
        <f t="shared" si="2"/>
        <v>3791</v>
      </c>
      <c r="H18" s="15">
        <f t="shared" si="7"/>
        <v>48070</v>
      </c>
      <c r="I18" s="12">
        <v>0</v>
      </c>
      <c r="J18" s="12">
        <f t="shared" si="3"/>
        <v>51860</v>
      </c>
    </row>
    <row r="19" spans="1:10" ht="15.75" thickBot="1" x14ac:dyDescent="0.3">
      <c r="A19" s="16">
        <v>26</v>
      </c>
      <c r="B19" s="17">
        <f t="shared" si="4"/>
        <v>31300</v>
      </c>
      <c r="C19" s="18">
        <f t="shared" si="5"/>
        <v>52350</v>
      </c>
      <c r="D19" s="19">
        <f t="shared" si="0"/>
        <v>7735</v>
      </c>
      <c r="E19" s="18">
        <f t="shared" si="6"/>
        <v>44615</v>
      </c>
      <c r="F19" s="20">
        <f t="shared" si="1"/>
        <v>52350</v>
      </c>
      <c r="G19" s="19">
        <f t="shared" si="2"/>
        <v>3868</v>
      </c>
      <c r="H19" s="18">
        <f t="shared" si="7"/>
        <v>48483</v>
      </c>
      <c r="I19" s="21">
        <v>0</v>
      </c>
      <c r="J19" s="21">
        <f t="shared" si="3"/>
        <v>52350</v>
      </c>
    </row>
    <row r="20" spans="1:10" x14ac:dyDescent="0.25">
      <c r="A20" s="56">
        <v>27</v>
      </c>
      <c r="B20" s="57">
        <f t="shared" si="4"/>
        <v>31570</v>
      </c>
      <c r="C20" s="58">
        <f t="shared" si="5"/>
        <v>52840</v>
      </c>
      <c r="D20" s="59">
        <f t="shared" ref="D20:D22" si="8">C20-E20</f>
        <v>7889</v>
      </c>
      <c r="E20" s="58">
        <f t="shared" si="6"/>
        <v>44951</v>
      </c>
      <c r="F20" s="60">
        <f t="shared" ref="F20:F22" si="9">C20</f>
        <v>52840</v>
      </c>
      <c r="G20" s="59">
        <f t="shared" ref="G20:G22" si="10">F20-H20+1</f>
        <v>3945</v>
      </c>
      <c r="H20" s="58">
        <f t="shared" si="7"/>
        <v>48896</v>
      </c>
      <c r="I20" s="61">
        <v>0</v>
      </c>
      <c r="J20" s="61">
        <f t="shared" ref="J20:J22" si="11">F20</f>
        <v>52840</v>
      </c>
    </row>
    <row r="21" spans="1:10" ht="15.75" thickBot="1" x14ac:dyDescent="0.3">
      <c r="A21" s="16">
        <v>28</v>
      </c>
      <c r="B21" s="17">
        <f t="shared" si="4"/>
        <v>31840</v>
      </c>
      <c r="C21" s="18">
        <f t="shared" si="5"/>
        <v>53330</v>
      </c>
      <c r="D21" s="19">
        <f t="shared" si="8"/>
        <v>8043</v>
      </c>
      <c r="E21" s="18">
        <f t="shared" si="6"/>
        <v>45287</v>
      </c>
      <c r="F21" s="20">
        <f t="shared" si="9"/>
        <v>53330</v>
      </c>
      <c r="G21" s="19">
        <f t="shared" si="10"/>
        <v>4022</v>
      </c>
      <c r="H21" s="18">
        <f t="shared" si="7"/>
        <v>49309</v>
      </c>
      <c r="I21" s="21">
        <v>0</v>
      </c>
      <c r="J21" s="21">
        <f t="shared" si="11"/>
        <v>53330</v>
      </c>
    </row>
    <row r="22" spans="1:10" x14ac:dyDescent="0.25">
      <c r="A22" s="13">
        <v>29</v>
      </c>
      <c r="B22" s="14">
        <f t="shared" si="4"/>
        <v>32110</v>
      </c>
      <c r="C22" s="15">
        <f t="shared" si="5"/>
        <v>53820</v>
      </c>
      <c r="D22" s="10">
        <f t="shared" si="8"/>
        <v>8197</v>
      </c>
      <c r="E22" s="15">
        <f t="shared" si="6"/>
        <v>45623</v>
      </c>
      <c r="F22" s="11">
        <f t="shared" si="9"/>
        <v>53820</v>
      </c>
      <c r="G22" s="10">
        <f t="shared" si="10"/>
        <v>4099</v>
      </c>
      <c r="H22" s="15">
        <f t="shared" si="7"/>
        <v>49722</v>
      </c>
      <c r="I22" s="12">
        <v>0</v>
      </c>
      <c r="J22" s="12">
        <f t="shared" si="11"/>
        <v>53820</v>
      </c>
    </row>
    <row r="23" spans="1:10" ht="15.75" thickBot="1" x14ac:dyDescent="0.3">
      <c r="A23" s="16">
        <v>30</v>
      </c>
      <c r="B23" s="17">
        <f t="shared" si="4"/>
        <v>32380</v>
      </c>
      <c r="C23" s="18">
        <f t="shared" si="5"/>
        <v>54310</v>
      </c>
      <c r="D23" s="19">
        <f t="shared" ref="D23:D28" si="12">C23-E23</f>
        <v>8351</v>
      </c>
      <c r="E23" s="18">
        <f t="shared" si="6"/>
        <v>45959</v>
      </c>
      <c r="F23" s="20">
        <f t="shared" ref="F23:F28" si="13">C23</f>
        <v>54310</v>
      </c>
      <c r="G23" s="19">
        <f t="shared" ref="G23:G28" si="14">F23-H23+1</f>
        <v>4176</v>
      </c>
      <c r="H23" s="18">
        <f t="shared" si="7"/>
        <v>50135</v>
      </c>
      <c r="I23" s="21">
        <v>0</v>
      </c>
      <c r="J23" s="21">
        <f t="shared" ref="J23:J28" si="15">F23</f>
        <v>54310</v>
      </c>
    </row>
    <row r="24" spans="1:10" x14ac:dyDescent="0.25">
      <c r="A24" s="13">
        <v>31</v>
      </c>
      <c r="B24" s="14">
        <f t="shared" si="4"/>
        <v>32650</v>
      </c>
      <c r="C24" s="15">
        <f t="shared" si="5"/>
        <v>54800</v>
      </c>
      <c r="D24" s="10">
        <f t="shared" si="12"/>
        <v>8505</v>
      </c>
      <c r="E24" s="15">
        <f t="shared" si="6"/>
        <v>46295</v>
      </c>
      <c r="F24" s="11">
        <f t="shared" si="13"/>
        <v>54800</v>
      </c>
      <c r="G24" s="10">
        <f t="shared" si="14"/>
        <v>4253</v>
      </c>
      <c r="H24" s="15">
        <f t="shared" si="7"/>
        <v>50548</v>
      </c>
      <c r="I24" s="12">
        <v>0</v>
      </c>
      <c r="J24" s="12">
        <f t="shared" si="15"/>
        <v>54800</v>
      </c>
    </row>
    <row r="25" spans="1:10" ht="15.75" thickBot="1" x14ac:dyDescent="0.3">
      <c r="A25" s="16">
        <v>32</v>
      </c>
      <c r="B25" s="17">
        <f t="shared" si="4"/>
        <v>32920</v>
      </c>
      <c r="C25" s="18">
        <f t="shared" si="5"/>
        <v>55290</v>
      </c>
      <c r="D25" s="19">
        <f t="shared" si="12"/>
        <v>8659</v>
      </c>
      <c r="E25" s="18">
        <f t="shared" si="6"/>
        <v>46631</v>
      </c>
      <c r="F25" s="20">
        <f t="shared" si="13"/>
        <v>55290</v>
      </c>
      <c r="G25" s="19">
        <f t="shared" si="14"/>
        <v>4330</v>
      </c>
      <c r="H25" s="18">
        <f t="shared" si="7"/>
        <v>50961</v>
      </c>
      <c r="I25" s="21">
        <v>0</v>
      </c>
      <c r="J25" s="21">
        <f t="shared" si="15"/>
        <v>55290</v>
      </c>
    </row>
    <row r="26" spans="1:10" x14ac:dyDescent="0.25">
      <c r="A26" s="13">
        <v>33</v>
      </c>
      <c r="B26" s="14">
        <f t="shared" si="4"/>
        <v>33190</v>
      </c>
      <c r="C26" s="15">
        <f t="shared" si="5"/>
        <v>55780</v>
      </c>
      <c r="D26" s="10">
        <f t="shared" si="12"/>
        <v>8813</v>
      </c>
      <c r="E26" s="15">
        <f t="shared" si="6"/>
        <v>46967</v>
      </c>
      <c r="F26" s="11">
        <f t="shared" si="13"/>
        <v>55780</v>
      </c>
      <c r="G26" s="10">
        <f t="shared" si="14"/>
        <v>4407</v>
      </c>
      <c r="H26" s="15">
        <f t="shared" si="7"/>
        <v>51374</v>
      </c>
      <c r="I26" s="12">
        <v>0</v>
      </c>
      <c r="J26" s="12">
        <f t="shared" si="15"/>
        <v>55780</v>
      </c>
    </row>
    <row r="27" spans="1:10" ht="15.75" thickBot="1" x14ac:dyDescent="0.3">
      <c r="A27" s="16">
        <v>34</v>
      </c>
      <c r="B27" s="17">
        <f t="shared" si="4"/>
        <v>33460</v>
      </c>
      <c r="C27" s="18">
        <f t="shared" si="5"/>
        <v>56270</v>
      </c>
      <c r="D27" s="19">
        <f t="shared" si="12"/>
        <v>8967</v>
      </c>
      <c r="E27" s="18">
        <f t="shared" si="6"/>
        <v>47303</v>
      </c>
      <c r="F27" s="20">
        <f t="shared" si="13"/>
        <v>56270</v>
      </c>
      <c r="G27" s="19">
        <f t="shared" si="14"/>
        <v>4484</v>
      </c>
      <c r="H27" s="18">
        <f t="shared" si="7"/>
        <v>51787</v>
      </c>
      <c r="I27" s="21">
        <v>0</v>
      </c>
      <c r="J27" s="21">
        <f t="shared" si="15"/>
        <v>56270</v>
      </c>
    </row>
    <row r="28" spans="1:10" x14ac:dyDescent="0.25">
      <c r="A28" s="13">
        <v>35</v>
      </c>
      <c r="B28" s="14">
        <f t="shared" si="4"/>
        <v>33730</v>
      </c>
      <c r="C28" s="15">
        <f t="shared" si="5"/>
        <v>56760</v>
      </c>
      <c r="D28" s="10">
        <f t="shared" si="12"/>
        <v>9121</v>
      </c>
      <c r="E28" s="15">
        <f t="shared" si="6"/>
        <v>47639</v>
      </c>
      <c r="F28" s="11">
        <f t="shared" si="13"/>
        <v>56760</v>
      </c>
      <c r="G28" s="10">
        <f t="shared" si="14"/>
        <v>4561</v>
      </c>
      <c r="H28" s="15">
        <f t="shared" si="7"/>
        <v>52200</v>
      </c>
      <c r="I28" s="12">
        <v>0</v>
      </c>
      <c r="J28" s="12">
        <f t="shared" si="15"/>
        <v>56760</v>
      </c>
    </row>
    <row r="29" spans="1:10" ht="15.75" thickBot="1" x14ac:dyDescent="0.3">
      <c r="A29" s="16">
        <v>36</v>
      </c>
      <c r="B29" s="17">
        <f t="shared" si="4"/>
        <v>34000</v>
      </c>
      <c r="C29" s="18">
        <f t="shared" si="5"/>
        <v>57250</v>
      </c>
      <c r="D29" s="19">
        <f t="shared" ref="D29:D38" si="16">C29-E29</f>
        <v>9275</v>
      </c>
      <c r="E29" s="18">
        <f t="shared" si="6"/>
        <v>47975</v>
      </c>
      <c r="F29" s="20">
        <f t="shared" ref="F29:F38" si="17">C29</f>
        <v>57250</v>
      </c>
      <c r="G29" s="19">
        <f t="shared" ref="G29:G38" si="18">F29-H29+1</f>
        <v>4638</v>
      </c>
      <c r="H29" s="18">
        <f t="shared" si="7"/>
        <v>52613</v>
      </c>
      <c r="I29" s="21">
        <v>0</v>
      </c>
      <c r="J29" s="21">
        <f t="shared" ref="J29:J38" si="19">F29</f>
        <v>57250</v>
      </c>
    </row>
    <row r="30" spans="1:10" x14ac:dyDescent="0.25">
      <c r="A30" s="13">
        <v>37</v>
      </c>
      <c r="B30" s="14">
        <f t="shared" si="4"/>
        <v>34270</v>
      </c>
      <c r="C30" s="15">
        <f t="shared" si="5"/>
        <v>57740</v>
      </c>
      <c r="D30" s="10">
        <f t="shared" si="16"/>
        <v>9429</v>
      </c>
      <c r="E30" s="15">
        <f t="shared" si="6"/>
        <v>48311</v>
      </c>
      <c r="F30" s="11">
        <f t="shared" si="17"/>
        <v>57740</v>
      </c>
      <c r="G30" s="10">
        <f t="shared" si="18"/>
        <v>4715</v>
      </c>
      <c r="H30" s="15">
        <f t="shared" si="7"/>
        <v>53026</v>
      </c>
      <c r="I30" s="12">
        <v>0</v>
      </c>
      <c r="J30" s="12">
        <f t="shared" si="19"/>
        <v>57740</v>
      </c>
    </row>
    <row r="31" spans="1:10" ht="15.75" thickBot="1" x14ac:dyDescent="0.3">
      <c r="A31" s="16">
        <v>38</v>
      </c>
      <c r="B31" s="17">
        <f t="shared" si="4"/>
        <v>34540</v>
      </c>
      <c r="C31" s="18">
        <f t="shared" si="5"/>
        <v>58230</v>
      </c>
      <c r="D31" s="19">
        <f t="shared" si="16"/>
        <v>9583</v>
      </c>
      <c r="E31" s="18">
        <f t="shared" si="6"/>
        <v>48647</v>
      </c>
      <c r="F31" s="20">
        <f t="shared" si="17"/>
        <v>58230</v>
      </c>
      <c r="G31" s="19">
        <f t="shared" si="18"/>
        <v>4792</v>
      </c>
      <c r="H31" s="18">
        <f t="shared" si="7"/>
        <v>53439</v>
      </c>
      <c r="I31" s="21">
        <v>0</v>
      </c>
      <c r="J31" s="21">
        <f t="shared" si="19"/>
        <v>58230</v>
      </c>
    </row>
    <row r="32" spans="1:10" x14ac:dyDescent="0.25">
      <c r="A32" s="13">
        <v>39</v>
      </c>
      <c r="B32" s="14">
        <f t="shared" si="4"/>
        <v>34810</v>
      </c>
      <c r="C32" s="15">
        <f t="shared" si="5"/>
        <v>58720</v>
      </c>
      <c r="D32" s="10">
        <f t="shared" si="16"/>
        <v>9737</v>
      </c>
      <c r="E32" s="15">
        <f t="shared" si="6"/>
        <v>48983</v>
      </c>
      <c r="F32" s="11">
        <f t="shared" si="17"/>
        <v>58720</v>
      </c>
      <c r="G32" s="10">
        <f t="shared" si="18"/>
        <v>4869</v>
      </c>
      <c r="H32" s="15">
        <f t="shared" si="7"/>
        <v>53852</v>
      </c>
      <c r="I32" s="12">
        <v>0</v>
      </c>
      <c r="J32" s="12">
        <f t="shared" si="19"/>
        <v>58720</v>
      </c>
    </row>
    <row r="33" spans="1:10" ht="15.75" thickBot="1" x14ac:dyDescent="0.3">
      <c r="A33" s="16">
        <v>40</v>
      </c>
      <c r="B33" s="17">
        <f t="shared" si="4"/>
        <v>35080</v>
      </c>
      <c r="C33" s="18">
        <f t="shared" si="5"/>
        <v>59210</v>
      </c>
      <c r="D33" s="19">
        <f t="shared" si="16"/>
        <v>9891</v>
      </c>
      <c r="E33" s="18">
        <f t="shared" si="6"/>
        <v>49319</v>
      </c>
      <c r="F33" s="20">
        <f t="shared" si="17"/>
        <v>59210</v>
      </c>
      <c r="G33" s="19">
        <f t="shared" si="18"/>
        <v>4946</v>
      </c>
      <c r="H33" s="18">
        <f t="shared" si="7"/>
        <v>54265</v>
      </c>
      <c r="I33" s="21">
        <v>0</v>
      </c>
      <c r="J33" s="21">
        <f t="shared" si="19"/>
        <v>59210</v>
      </c>
    </row>
    <row r="34" spans="1:10" x14ac:dyDescent="0.25">
      <c r="A34" s="13">
        <v>41</v>
      </c>
      <c r="B34" s="14">
        <f t="shared" si="4"/>
        <v>35350</v>
      </c>
      <c r="C34" s="15">
        <f t="shared" si="5"/>
        <v>59700</v>
      </c>
      <c r="D34" s="10">
        <f t="shared" si="16"/>
        <v>10045</v>
      </c>
      <c r="E34" s="15">
        <f t="shared" si="6"/>
        <v>49655</v>
      </c>
      <c r="F34" s="11">
        <f t="shared" si="17"/>
        <v>59700</v>
      </c>
      <c r="G34" s="10">
        <f t="shared" si="18"/>
        <v>5023</v>
      </c>
      <c r="H34" s="15">
        <f t="shared" si="7"/>
        <v>54678</v>
      </c>
      <c r="I34" s="12">
        <v>0</v>
      </c>
      <c r="J34" s="12">
        <f t="shared" si="19"/>
        <v>59700</v>
      </c>
    </row>
    <row r="35" spans="1:10" ht="15.75" thickBot="1" x14ac:dyDescent="0.3">
      <c r="A35" s="16">
        <v>42</v>
      </c>
      <c r="B35" s="17">
        <f t="shared" si="4"/>
        <v>35620</v>
      </c>
      <c r="C35" s="18">
        <f t="shared" si="5"/>
        <v>60190</v>
      </c>
      <c r="D35" s="19">
        <f t="shared" si="16"/>
        <v>10199</v>
      </c>
      <c r="E35" s="18">
        <f t="shared" si="6"/>
        <v>49991</v>
      </c>
      <c r="F35" s="20">
        <f t="shared" si="17"/>
        <v>60190</v>
      </c>
      <c r="G35" s="19">
        <f t="shared" si="18"/>
        <v>5100</v>
      </c>
      <c r="H35" s="18">
        <f t="shared" si="7"/>
        <v>55091</v>
      </c>
      <c r="I35" s="21">
        <v>0</v>
      </c>
      <c r="J35" s="21">
        <f t="shared" si="19"/>
        <v>60190</v>
      </c>
    </row>
    <row r="36" spans="1:10" x14ac:dyDescent="0.25">
      <c r="A36" s="13">
        <v>43</v>
      </c>
      <c r="B36" s="14">
        <f t="shared" si="4"/>
        <v>35890</v>
      </c>
      <c r="C36" s="15">
        <f t="shared" si="5"/>
        <v>60680</v>
      </c>
      <c r="D36" s="10">
        <f t="shared" si="16"/>
        <v>10353</v>
      </c>
      <c r="E36" s="15">
        <f t="shared" si="6"/>
        <v>50327</v>
      </c>
      <c r="F36" s="11">
        <f t="shared" si="17"/>
        <v>60680</v>
      </c>
      <c r="G36" s="10">
        <f t="shared" si="18"/>
        <v>5177</v>
      </c>
      <c r="H36" s="15">
        <f t="shared" si="7"/>
        <v>55504</v>
      </c>
      <c r="I36" s="12">
        <v>0</v>
      </c>
      <c r="J36" s="12">
        <f t="shared" si="19"/>
        <v>60680</v>
      </c>
    </row>
    <row r="37" spans="1:10" ht="15.75" thickBot="1" x14ac:dyDescent="0.3">
      <c r="A37" s="16">
        <v>44</v>
      </c>
      <c r="B37" s="17">
        <f t="shared" si="4"/>
        <v>36160</v>
      </c>
      <c r="C37" s="18">
        <f t="shared" si="5"/>
        <v>61170</v>
      </c>
      <c r="D37" s="19">
        <f t="shared" si="16"/>
        <v>10507</v>
      </c>
      <c r="E37" s="18">
        <f t="shared" si="6"/>
        <v>50663</v>
      </c>
      <c r="F37" s="20">
        <f t="shared" si="17"/>
        <v>61170</v>
      </c>
      <c r="G37" s="19">
        <f t="shared" si="18"/>
        <v>5254</v>
      </c>
      <c r="H37" s="18">
        <f t="shared" si="7"/>
        <v>55917</v>
      </c>
      <c r="I37" s="21">
        <v>0</v>
      </c>
      <c r="J37" s="21">
        <f t="shared" si="19"/>
        <v>61170</v>
      </c>
    </row>
    <row r="38" spans="1:10" x14ac:dyDescent="0.25">
      <c r="A38" s="13">
        <v>45</v>
      </c>
      <c r="B38" s="14">
        <f t="shared" si="4"/>
        <v>36430</v>
      </c>
      <c r="C38" s="15">
        <f t="shared" si="5"/>
        <v>61660</v>
      </c>
      <c r="D38" s="10">
        <f t="shared" si="16"/>
        <v>10661</v>
      </c>
      <c r="E38" s="15">
        <f t="shared" si="6"/>
        <v>50999</v>
      </c>
      <c r="F38" s="11">
        <f t="shared" si="17"/>
        <v>61660</v>
      </c>
      <c r="G38" s="10">
        <f t="shared" si="18"/>
        <v>5331</v>
      </c>
      <c r="H38" s="15">
        <f t="shared" si="7"/>
        <v>56330</v>
      </c>
      <c r="I38" s="12">
        <v>0</v>
      </c>
      <c r="J38" s="12">
        <f t="shared" si="19"/>
        <v>61660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J26"/>
  <sheetViews>
    <sheetView workbookViewId="0">
      <selection activeCell="E19" sqref="E19"/>
    </sheetView>
  </sheetViews>
  <sheetFormatPr defaultRowHeight="15" x14ac:dyDescent="0.25"/>
  <cols>
    <col min="2" max="2" width="11.7109375" customWidth="1"/>
    <col min="3" max="10" width="12.42578125" customWidth="1"/>
  </cols>
  <sheetData>
    <row r="1" spans="1:10" ht="23.25" x14ac:dyDescent="0.35">
      <c r="A1" s="47" t="s">
        <v>11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2">
        <v>1</v>
      </c>
      <c r="B5" s="23">
        <v>30250</v>
      </c>
      <c r="C5" s="24">
        <v>50440</v>
      </c>
      <c r="D5" s="23">
        <f>C5-E5</f>
        <v>7133</v>
      </c>
      <c r="E5" s="24">
        <v>43307</v>
      </c>
      <c r="F5" s="25">
        <f>C5</f>
        <v>50440</v>
      </c>
      <c r="G5" s="23">
        <f>F5-H5+1</f>
        <v>3567</v>
      </c>
      <c r="H5" s="24">
        <v>46874</v>
      </c>
      <c r="I5" s="26">
        <v>0</v>
      </c>
      <c r="J5" s="26">
        <f>F5</f>
        <v>50440</v>
      </c>
    </row>
    <row r="6" spans="1:10" x14ac:dyDescent="0.25">
      <c r="A6" s="13">
        <v>2</v>
      </c>
      <c r="B6" s="14">
        <f>B5+300</f>
        <v>30550</v>
      </c>
      <c r="C6" s="15">
        <f>C5+540</f>
        <v>50980</v>
      </c>
      <c r="D6" s="10">
        <f t="shared" ref="D6:D26" si="0">C6-E6</f>
        <v>7301</v>
      </c>
      <c r="E6" s="15">
        <f>E5+372</f>
        <v>43679</v>
      </c>
      <c r="F6" s="11">
        <f t="shared" ref="F6:F26" si="1">C6</f>
        <v>50980</v>
      </c>
      <c r="G6" s="10">
        <f t="shared" ref="G6:G26" si="2">F6-H6+1</f>
        <v>3651</v>
      </c>
      <c r="H6" s="15">
        <v>47330</v>
      </c>
      <c r="I6" s="12">
        <v>0</v>
      </c>
      <c r="J6" s="12">
        <f t="shared" ref="J6:J26" si="3">F6</f>
        <v>50980</v>
      </c>
    </row>
    <row r="7" spans="1:10" x14ac:dyDescent="0.25">
      <c r="A7" s="13">
        <v>3</v>
      </c>
      <c r="B7" s="14">
        <f t="shared" ref="B7:B11" si="4">B6+300</f>
        <v>30850</v>
      </c>
      <c r="C7" s="15">
        <f t="shared" ref="C7:C11" si="5">C6+540</f>
        <v>51520</v>
      </c>
      <c r="D7" s="10">
        <f t="shared" si="0"/>
        <v>7469</v>
      </c>
      <c r="E7" s="15">
        <f t="shared" ref="E7:E11" si="6">E6+372</f>
        <v>44051</v>
      </c>
      <c r="F7" s="11">
        <f t="shared" si="1"/>
        <v>51520</v>
      </c>
      <c r="G7" s="10">
        <f t="shared" si="2"/>
        <v>3735</v>
      </c>
      <c r="H7" s="15">
        <f>H6+456</f>
        <v>47786</v>
      </c>
      <c r="I7" s="12">
        <v>0</v>
      </c>
      <c r="J7" s="12">
        <f t="shared" si="3"/>
        <v>51520</v>
      </c>
    </row>
    <row r="8" spans="1:10" x14ac:dyDescent="0.25">
      <c r="A8" s="13">
        <v>4</v>
      </c>
      <c r="B8" s="14">
        <f t="shared" si="4"/>
        <v>31150</v>
      </c>
      <c r="C8" s="15">
        <f t="shared" si="5"/>
        <v>52060</v>
      </c>
      <c r="D8" s="10">
        <f t="shared" si="0"/>
        <v>7637</v>
      </c>
      <c r="E8" s="15">
        <f t="shared" si="6"/>
        <v>44423</v>
      </c>
      <c r="F8" s="11">
        <f t="shared" si="1"/>
        <v>52060</v>
      </c>
      <c r="G8" s="10">
        <f t="shared" si="2"/>
        <v>3819</v>
      </c>
      <c r="H8" s="15">
        <f t="shared" ref="H8:H11" si="7">H7+456</f>
        <v>48242</v>
      </c>
      <c r="I8" s="12">
        <v>0</v>
      </c>
      <c r="J8" s="12">
        <f t="shared" si="3"/>
        <v>52060</v>
      </c>
    </row>
    <row r="9" spans="1:10" x14ac:dyDescent="0.25">
      <c r="A9" s="13">
        <v>5</v>
      </c>
      <c r="B9" s="14">
        <f t="shared" si="4"/>
        <v>31450</v>
      </c>
      <c r="C9" s="15">
        <f t="shared" si="5"/>
        <v>52600</v>
      </c>
      <c r="D9" s="10">
        <f t="shared" si="0"/>
        <v>7805</v>
      </c>
      <c r="E9" s="15">
        <f t="shared" si="6"/>
        <v>44795</v>
      </c>
      <c r="F9" s="11">
        <f t="shared" si="1"/>
        <v>52600</v>
      </c>
      <c r="G9" s="10">
        <f t="shared" si="2"/>
        <v>3903</v>
      </c>
      <c r="H9" s="15">
        <f t="shared" si="7"/>
        <v>48698</v>
      </c>
      <c r="I9" s="12">
        <v>0</v>
      </c>
      <c r="J9" s="12">
        <f t="shared" si="3"/>
        <v>52600</v>
      </c>
    </row>
    <row r="10" spans="1:10" x14ac:dyDescent="0.25">
      <c r="A10" s="13">
        <v>6</v>
      </c>
      <c r="B10" s="14">
        <f t="shared" si="4"/>
        <v>31750</v>
      </c>
      <c r="C10" s="15">
        <f t="shared" si="5"/>
        <v>53140</v>
      </c>
      <c r="D10" s="10">
        <f t="shared" si="0"/>
        <v>7973</v>
      </c>
      <c r="E10" s="15">
        <f t="shared" si="6"/>
        <v>45167</v>
      </c>
      <c r="F10" s="11">
        <f t="shared" si="1"/>
        <v>53140</v>
      </c>
      <c r="G10" s="10">
        <f t="shared" si="2"/>
        <v>3987</v>
      </c>
      <c r="H10" s="15">
        <f t="shared" si="7"/>
        <v>49154</v>
      </c>
      <c r="I10" s="12">
        <v>0</v>
      </c>
      <c r="J10" s="12">
        <f t="shared" si="3"/>
        <v>53140</v>
      </c>
    </row>
    <row r="11" spans="1:10" x14ac:dyDescent="0.25">
      <c r="A11" s="13">
        <v>7</v>
      </c>
      <c r="B11" s="14">
        <f t="shared" si="4"/>
        <v>32050</v>
      </c>
      <c r="C11" s="15">
        <f t="shared" si="5"/>
        <v>53680</v>
      </c>
      <c r="D11" s="10">
        <f t="shared" si="0"/>
        <v>8141</v>
      </c>
      <c r="E11" s="15">
        <f t="shared" si="6"/>
        <v>45539</v>
      </c>
      <c r="F11" s="11">
        <f t="shared" si="1"/>
        <v>53680</v>
      </c>
      <c r="G11" s="10">
        <f t="shared" si="2"/>
        <v>4071</v>
      </c>
      <c r="H11" s="15">
        <f t="shared" si="7"/>
        <v>49610</v>
      </c>
      <c r="I11" s="12">
        <v>0</v>
      </c>
      <c r="J11" s="12">
        <f t="shared" si="3"/>
        <v>53680</v>
      </c>
    </row>
    <row r="12" spans="1:10" x14ac:dyDescent="0.25">
      <c r="A12" s="13">
        <v>8</v>
      </c>
      <c r="B12" s="14">
        <f>B11+330</f>
        <v>32380</v>
      </c>
      <c r="C12" s="15">
        <f>C11+590</f>
        <v>54270</v>
      </c>
      <c r="D12" s="10">
        <f t="shared" si="0"/>
        <v>8323</v>
      </c>
      <c r="E12" s="15">
        <f>E11+408</f>
        <v>45947</v>
      </c>
      <c r="F12" s="11">
        <f t="shared" si="1"/>
        <v>54270</v>
      </c>
      <c r="G12" s="10">
        <f t="shared" si="2"/>
        <v>4162</v>
      </c>
      <c r="H12" s="15">
        <v>50109</v>
      </c>
      <c r="I12" s="12">
        <v>0</v>
      </c>
      <c r="J12" s="12">
        <f t="shared" si="3"/>
        <v>54270</v>
      </c>
    </row>
    <row r="13" spans="1:10" x14ac:dyDescent="0.25">
      <c r="A13" s="13">
        <v>9</v>
      </c>
      <c r="B13" s="14">
        <f t="shared" ref="B13:B32" si="8">B12+330</f>
        <v>32710</v>
      </c>
      <c r="C13" s="15">
        <f t="shared" ref="C13:C32" si="9">C12+590</f>
        <v>54860</v>
      </c>
      <c r="D13" s="10">
        <f t="shared" si="0"/>
        <v>8505</v>
      </c>
      <c r="E13" s="15">
        <f t="shared" ref="E13:E32" si="10">E12+408</f>
        <v>46355</v>
      </c>
      <c r="F13" s="11">
        <f t="shared" si="1"/>
        <v>54860</v>
      </c>
      <c r="G13" s="10">
        <f t="shared" si="2"/>
        <v>4253</v>
      </c>
      <c r="H13" s="15">
        <f>H12+499</f>
        <v>50608</v>
      </c>
      <c r="I13" s="12">
        <v>0</v>
      </c>
      <c r="J13" s="12">
        <f t="shared" si="3"/>
        <v>54860</v>
      </c>
    </row>
    <row r="14" spans="1:10" x14ac:dyDescent="0.25">
      <c r="A14" s="13">
        <v>10</v>
      </c>
      <c r="B14" s="14">
        <f t="shared" si="8"/>
        <v>33040</v>
      </c>
      <c r="C14" s="15">
        <f t="shared" si="9"/>
        <v>55450</v>
      </c>
      <c r="D14" s="10">
        <f t="shared" si="0"/>
        <v>8687</v>
      </c>
      <c r="E14" s="15">
        <f t="shared" si="10"/>
        <v>46763</v>
      </c>
      <c r="F14" s="11">
        <f t="shared" si="1"/>
        <v>55450</v>
      </c>
      <c r="G14" s="10">
        <f t="shared" si="2"/>
        <v>4344</v>
      </c>
      <c r="H14" s="15">
        <f t="shared" ref="H14:H32" si="11">H13+499</f>
        <v>51107</v>
      </c>
      <c r="I14" s="12">
        <v>0</v>
      </c>
      <c r="J14" s="12">
        <f t="shared" si="3"/>
        <v>55450</v>
      </c>
    </row>
    <row r="15" spans="1:10" x14ac:dyDescent="0.25">
      <c r="A15" s="13">
        <v>11</v>
      </c>
      <c r="B15" s="14">
        <f t="shared" si="8"/>
        <v>33370</v>
      </c>
      <c r="C15" s="15">
        <f t="shared" si="9"/>
        <v>56040</v>
      </c>
      <c r="D15" s="10">
        <f t="shared" si="0"/>
        <v>8869</v>
      </c>
      <c r="E15" s="15">
        <f t="shared" si="10"/>
        <v>47171</v>
      </c>
      <c r="F15" s="11">
        <f t="shared" si="1"/>
        <v>56040</v>
      </c>
      <c r="G15" s="10">
        <f t="shared" si="2"/>
        <v>4435</v>
      </c>
      <c r="H15" s="15">
        <f t="shared" si="11"/>
        <v>51606</v>
      </c>
      <c r="I15" s="12">
        <v>0</v>
      </c>
      <c r="J15" s="12">
        <f t="shared" si="3"/>
        <v>56040</v>
      </c>
    </row>
    <row r="16" spans="1:10" x14ac:dyDescent="0.25">
      <c r="A16" s="13">
        <v>12</v>
      </c>
      <c r="B16" s="14">
        <f t="shared" si="8"/>
        <v>33700</v>
      </c>
      <c r="C16" s="15">
        <f t="shared" si="9"/>
        <v>56630</v>
      </c>
      <c r="D16" s="10">
        <f t="shared" si="0"/>
        <v>9051</v>
      </c>
      <c r="E16" s="15">
        <f t="shared" si="10"/>
        <v>47579</v>
      </c>
      <c r="F16" s="11">
        <f t="shared" si="1"/>
        <v>56630</v>
      </c>
      <c r="G16" s="10">
        <f t="shared" si="2"/>
        <v>4526</v>
      </c>
      <c r="H16" s="15">
        <f t="shared" si="11"/>
        <v>52105</v>
      </c>
      <c r="I16" s="12">
        <v>0</v>
      </c>
      <c r="J16" s="12">
        <f t="shared" si="3"/>
        <v>56630</v>
      </c>
    </row>
    <row r="17" spans="1:10" x14ac:dyDescent="0.25">
      <c r="A17" s="13">
        <v>13</v>
      </c>
      <c r="B17" s="14">
        <f t="shared" si="8"/>
        <v>34030</v>
      </c>
      <c r="C17" s="15">
        <f t="shared" si="9"/>
        <v>57220</v>
      </c>
      <c r="D17" s="10">
        <f t="shared" si="0"/>
        <v>9233</v>
      </c>
      <c r="E17" s="15">
        <f t="shared" si="10"/>
        <v>47987</v>
      </c>
      <c r="F17" s="11">
        <f t="shared" si="1"/>
        <v>57220</v>
      </c>
      <c r="G17" s="10">
        <f t="shared" si="2"/>
        <v>4617</v>
      </c>
      <c r="H17" s="15">
        <f t="shared" si="11"/>
        <v>52604</v>
      </c>
      <c r="I17" s="12">
        <v>0</v>
      </c>
      <c r="J17" s="12">
        <f t="shared" si="3"/>
        <v>57220</v>
      </c>
    </row>
    <row r="18" spans="1:10" x14ac:dyDescent="0.25">
      <c r="A18" s="13">
        <v>14</v>
      </c>
      <c r="B18" s="14">
        <f t="shared" si="8"/>
        <v>34360</v>
      </c>
      <c r="C18" s="15">
        <f t="shared" si="9"/>
        <v>57810</v>
      </c>
      <c r="D18" s="10">
        <f t="shared" si="0"/>
        <v>9415</v>
      </c>
      <c r="E18" s="15">
        <f t="shared" si="10"/>
        <v>48395</v>
      </c>
      <c r="F18" s="11">
        <f t="shared" si="1"/>
        <v>57810</v>
      </c>
      <c r="G18" s="10">
        <f t="shared" si="2"/>
        <v>4708</v>
      </c>
      <c r="H18" s="15">
        <f t="shared" si="11"/>
        <v>53103</v>
      </c>
      <c r="I18" s="12">
        <v>0</v>
      </c>
      <c r="J18" s="12">
        <f t="shared" si="3"/>
        <v>57810</v>
      </c>
    </row>
    <row r="19" spans="1:10" x14ac:dyDescent="0.25">
      <c r="A19" s="13">
        <v>15</v>
      </c>
      <c r="B19" s="14">
        <f t="shared" si="8"/>
        <v>34690</v>
      </c>
      <c r="C19" s="15">
        <f t="shared" si="9"/>
        <v>58400</v>
      </c>
      <c r="D19" s="10">
        <f t="shared" si="0"/>
        <v>9597</v>
      </c>
      <c r="E19" s="15">
        <f t="shared" si="10"/>
        <v>48803</v>
      </c>
      <c r="F19" s="11">
        <f t="shared" si="1"/>
        <v>58400</v>
      </c>
      <c r="G19" s="10">
        <f t="shared" si="2"/>
        <v>4799</v>
      </c>
      <c r="H19" s="15">
        <f t="shared" si="11"/>
        <v>53602</v>
      </c>
      <c r="I19" s="12">
        <v>0</v>
      </c>
      <c r="J19" s="12">
        <f t="shared" si="3"/>
        <v>58400</v>
      </c>
    </row>
    <row r="20" spans="1:10" x14ac:dyDescent="0.25">
      <c r="A20" s="13">
        <v>16</v>
      </c>
      <c r="B20" s="14">
        <f t="shared" si="8"/>
        <v>35020</v>
      </c>
      <c r="C20" s="15">
        <f t="shared" si="9"/>
        <v>58990</v>
      </c>
      <c r="D20" s="10">
        <f t="shared" si="0"/>
        <v>9779</v>
      </c>
      <c r="E20" s="15">
        <f t="shared" si="10"/>
        <v>49211</v>
      </c>
      <c r="F20" s="11">
        <f t="shared" si="1"/>
        <v>58990</v>
      </c>
      <c r="G20" s="10">
        <f t="shared" si="2"/>
        <v>4890</v>
      </c>
      <c r="H20" s="15">
        <f t="shared" si="11"/>
        <v>54101</v>
      </c>
      <c r="I20" s="12">
        <v>0</v>
      </c>
      <c r="J20" s="12">
        <f t="shared" si="3"/>
        <v>58990</v>
      </c>
    </row>
    <row r="21" spans="1:10" x14ac:dyDescent="0.25">
      <c r="A21" s="13">
        <v>17</v>
      </c>
      <c r="B21" s="14">
        <f t="shared" si="8"/>
        <v>35350</v>
      </c>
      <c r="C21" s="15">
        <f t="shared" si="9"/>
        <v>59580</v>
      </c>
      <c r="D21" s="10">
        <f t="shared" si="0"/>
        <v>9961</v>
      </c>
      <c r="E21" s="15">
        <f t="shared" si="10"/>
        <v>49619</v>
      </c>
      <c r="F21" s="11">
        <f t="shared" si="1"/>
        <v>59580</v>
      </c>
      <c r="G21" s="10">
        <f t="shared" si="2"/>
        <v>4981</v>
      </c>
      <c r="H21" s="15">
        <f t="shared" si="11"/>
        <v>54600</v>
      </c>
      <c r="I21" s="12">
        <v>0</v>
      </c>
      <c r="J21" s="12">
        <f t="shared" si="3"/>
        <v>59580</v>
      </c>
    </row>
    <row r="22" spans="1:10" x14ac:dyDescent="0.25">
      <c r="A22" s="13">
        <v>18</v>
      </c>
      <c r="B22" s="14">
        <f t="shared" si="8"/>
        <v>35680</v>
      </c>
      <c r="C22" s="15">
        <f t="shared" si="9"/>
        <v>60170</v>
      </c>
      <c r="D22" s="10">
        <f t="shared" si="0"/>
        <v>10143</v>
      </c>
      <c r="E22" s="15">
        <f t="shared" si="10"/>
        <v>50027</v>
      </c>
      <c r="F22" s="11">
        <f t="shared" si="1"/>
        <v>60170</v>
      </c>
      <c r="G22" s="10">
        <f t="shared" si="2"/>
        <v>5072</v>
      </c>
      <c r="H22" s="15">
        <f t="shared" si="11"/>
        <v>55099</v>
      </c>
      <c r="I22" s="12">
        <v>0</v>
      </c>
      <c r="J22" s="12">
        <f t="shared" si="3"/>
        <v>60170</v>
      </c>
    </row>
    <row r="23" spans="1:10" x14ac:dyDescent="0.25">
      <c r="A23" s="13">
        <v>19</v>
      </c>
      <c r="B23" s="14">
        <f t="shared" si="8"/>
        <v>36010</v>
      </c>
      <c r="C23" s="15">
        <f t="shared" si="9"/>
        <v>60760</v>
      </c>
      <c r="D23" s="10">
        <f t="shared" si="0"/>
        <v>10325</v>
      </c>
      <c r="E23" s="15">
        <f t="shared" si="10"/>
        <v>50435</v>
      </c>
      <c r="F23" s="11">
        <f t="shared" si="1"/>
        <v>60760</v>
      </c>
      <c r="G23" s="10">
        <f t="shared" si="2"/>
        <v>5163</v>
      </c>
      <c r="H23" s="15">
        <f t="shared" si="11"/>
        <v>55598</v>
      </c>
      <c r="I23" s="12">
        <v>0</v>
      </c>
      <c r="J23" s="12">
        <f t="shared" si="3"/>
        <v>60760</v>
      </c>
    </row>
    <row r="24" spans="1:10" x14ac:dyDescent="0.25">
      <c r="A24" s="13">
        <v>20</v>
      </c>
      <c r="B24" s="14">
        <f t="shared" si="8"/>
        <v>36340</v>
      </c>
      <c r="C24" s="15">
        <f t="shared" si="9"/>
        <v>61350</v>
      </c>
      <c r="D24" s="10">
        <f t="shared" si="0"/>
        <v>10507</v>
      </c>
      <c r="E24" s="15">
        <f t="shared" si="10"/>
        <v>50843</v>
      </c>
      <c r="F24" s="11">
        <f t="shared" si="1"/>
        <v>61350</v>
      </c>
      <c r="G24" s="10">
        <f t="shared" si="2"/>
        <v>5254</v>
      </c>
      <c r="H24" s="15">
        <f t="shared" si="11"/>
        <v>56097</v>
      </c>
      <c r="I24" s="12">
        <v>0</v>
      </c>
      <c r="J24" s="12">
        <f t="shared" si="3"/>
        <v>61350</v>
      </c>
    </row>
    <row r="25" spans="1:10" x14ac:dyDescent="0.25">
      <c r="A25" s="13">
        <v>21</v>
      </c>
      <c r="B25" s="14">
        <f t="shared" si="8"/>
        <v>36670</v>
      </c>
      <c r="C25" s="15">
        <f t="shared" si="9"/>
        <v>61940</v>
      </c>
      <c r="D25" s="10">
        <f t="shared" si="0"/>
        <v>10689</v>
      </c>
      <c r="E25" s="15">
        <f t="shared" si="10"/>
        <v>51251</v>
      </c>
      <c r="F25" s="11">
        <f t="shared" si="1"/>
        <v>61940</v>
      </c>
      <c r="G25" s="10">
        <f t="shared" si="2"/>
        <v>5345</v>
      </c>
      <c r="H25" s="15">
        <f t="shared" si="11"/>
        <v>56596</v>
      </c>
      <c r="I25" s="12">
        <v>0</v>
      </c>
      <c r="J25" s="12">
        <f t="shared" si="3"/>
        <v>61940</v>
      </c>
    </row>
    <row r="26" spans="1:10" ht="15.75" thickBot="1" x14ac:dyDescent="0.3">
      <c r="A26" s="16">
        <v>22</v>
      </c>
      <c r="B26" s="17">
        <f t="shared" si="8"/>
        <v>37000</v>
      </c>
      <c r="C26" s="18">
        <f t="shared" si="9"/>
        <v>62530</v>
      </c>
      <c r="D26" s="19">
        <f t="shared" si="0"/>
        <v>10871</v>
      </c>
      <c r="E26" s="18">
        <f t="shared" si="10"/>
        <v>51659</v>
      </c>
      <c r="F26" s="20">
        <f t="shared" si="1"/>
        <v>62530</v>
      </c>
      <c r="G26" s="19">
        <f t="shared" si="2"/>
        <v>5436</v>
      </c>
      <c r="H26" s="18">
        <f t="shared" si="11"/>
        <v>57095</v>
      </c>
      <c r="I26" s="21">
        <v>0</v>
      </c>
      <c r="J26" s="21">
        <f t="shared" si="3"/>
        <v>62530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23"/>
  <sheetViews>
    <sheetView workbookViewId="0">
      <selection activeCell="C9" sqref="C9"/>
    </sheetView>
  </sheetViews>
  <sheetFormatPr defaultRowHeight="15" x14ac:dyDescent="0.25"/>
  <cols>
    <col min="2" max="10" width="13.5703125" customWidth="1"/>
  </cols>
  <sheetData>
    <row r="1" spans="1:10" ht="23.25" x14ac:dyDescent="0.35">
      <c r="A1" s="47" t="s">
        <v>12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2">
        <v>1</v>
      </c>
      <c r="B5" s="23">
        <v>25750</v>
      </c>
      <c r="C5" s="24">
        <v>42300</v>
      </c>
      <c r="D5" s="23">
        <f>C5-E5</f>
        <v>4585</v>
      </c>
      <c r="E5" s="24">
        <v>37715</v>
      </c>
      <c r="F5" s="25">
        <f>C5</f>
        <v>42300</v>
      </c>
      <c r="G5" s="23">
        <f>F5-H5+1</f>
        <v>2293</v>
      </c>
      <c r="H5" s="24">
        <v>40008</v>
      </c>
      <c r="I5" s="26">
        <v>0</v>
      </c>
      <c r="J5" s="26">
        <f>F5</f>
        <v>42300</v>
      </c>
    </row>
    <row r="6" spans="1:10" x14ac:dyDescent="0.25">
      <c r="A6" s="13">
        <v>2</v>
      </c>
      <c r="B6" s="14">
        <v>26020</v>
      </c>
      <c r="C6" s="15">
        <f>C5+490</f>
        <v>42790</v>
      </c>
      <c r="D6" s="10">
        <f t="shared" ref="D6:D23" si="0">C6-E6</f>
        <v>4739</v>
      </c>
      <c r="E6" s="15">
        <v>38051</v>
      </c>
      <c r="F6" s="11">
        <f t="shared" ref="F6:F23" si="1">C6</f>
        <v>42790</v>
      </c>
      <c r="G6" s="10">
        <f t="shared" ref="G6:G23" si="2">F6-H6+1</f>
        <v>2370</v>
      </c>
      <c r="H6" s="15">
        <v>40421</v>
      </c>
      <c r="I6" s="12">
        <v>0</v>
      </c>
      <c r="J6" s="12">
        <f t="shared" ref="J6:J23" si="3">F6</f>
        <v>42790</v>
      </c>
    </row>
    <row r="7" spans="1:10" x14ac:dyDescent="0.25">
      <c r="A7" s="13">
        <v>3</v>
      </c>
      <c r="B7" s="14">
        <f>B6+270</f>
        <v>26290</v>
      </c>
      <c r="C7" s="15">
        <f t="shared" ref="C7:C23" si="4">C6+490</f>
        <v>43280</v>
      </c>
      <c r="D7" s="10">
        <f t="shared" si="0"/>
        <v>4893</v>
      </c>
      <c r="E7" s="15">
        <f>E6+336</f>
        <v>38387</v>
      </c>
      <c r="F7" s="11">
        <f t="shared" si="1"/>
        <v>43280</v>
      </c>
      <c r="G7" s="10">
        <f t="shared" si="2"/>
        <v>2447</v>
      </c>
      <c r="H7" s="15">
        <f>H6+413</f>
        <v>40834</v>
      </c>
      <c r="I7" s="12">
        <v>0</v>
      </c>
      <c r="J7" s="12">
        <f t="shared" si="3"/>
        <v>43280</v>
      </c>
    </row>
    <row r="8" spans="1:10" x14ac:dyDescent="0.25">
      <c r="A8" s="13">
        <v>4</v>
      </c>
      <c r="B8" s="14">
        <f t="shared" ref="B8:B23" si="5">B7+270</f>
        <v>26560</v>
      </c>
      <c r="C8" s="15">
        <f t="shared" si="4"/>
        <v>43770</v>
      </c>
      <c r="D8" s="10">
        <f t="shared" si="0"/>
        <v>5047</v>
      </c>
      <c r="E8" s="15">
        <f t="shared" ref="E8:E23" si="6">E7+336</f>
        <v>38723</v>
      </c>
      <c r="F8" s="11">
        <f t="shared" si="1"/>
        <v>43770</v>
      </c>
      <c r="G8" s="10">
        <f t="shared" si="2"/>
        <v>2524</v>
      </c>
      <c r="H8" s="15">
        <f t="shared" ref="H8:H23" si="7">H7+413</f>
        <v>41247</v>
      </c>
      <c r="I8" s="12">
        <v>0</v>
      </c>
      <c r="J8" s="12">
        <f t="shared" si="3"/>
        <v>43770</v>
      </c>
    </row>
    <row r="9" spans="1:10" x14ac:dyDescent="0.25">
      <c r="A9" s="13">
        <v>5</v>
      </c>
      <c r="B9" s="14">
        <f t="shared" si="5"/>
        <v>26830</v>
      </c>
      <c r="C9" s="15">
        <f t="shared" si="4"/>
        <v>44260</v>
      </c>
      <c r="D9" s="10">
        <f t="shared" si="0"/>
        <v>5201</v>
      </c>
      <c r="E9" s="15">
        <f t="shared" si="6"/>
        <v>39059</v>
      </c>
      <c r="F9" s="11">
        <f t="shared" si="1"/>
        <v>44260</v>
      </c>
      <c r="G9" s="10">
        <f t="shared" si="2"/>
        <v>2601</v>
      </c>
      <c r="H9" s="15">
        <f t="shared" si="7"/>
        <v>41660</v>
      </c>
      <c r="I9" s="12">
        <v>0</v>
      </c>
      <c r="J9" s="12">
        <f t="shared" si="3"/>
        <v>44260</v>
      </c>
    </row>
    <row r="10" spans="1:10" x14ac:dyDescent="0.25">
      <c r="A10" s="13">
        <v>6</v>
      </c>
      <c r="B10" s="14">
        <f t="shared" si="5"/>
        <v>27100</v>
      </c>
      <c r="C10" s="15">
        <f t="shared" si="4"/>
        <v>44750</v>
      </c>
      <c r="D10" s="10">
        <f t="shared" si="0"/>
        <v>5355</v>
      </c>
      <c r="E10" s="15">
        <f t="shared" si="6"/>
        <v>39395</v>
      </c>
      <c r="F10" s="11">
        <f t="shared" si="1"/>
        <v>44750</v>
      </c>
      <c r="G10" s="10">
        <f t="shared" si="2"/>
        <v>2678</v>
      </c>
      <c r="H10" s="15">
        <f t="shared" si="7"/>
        <v>42073</v>
      </c>
      <c r="I10" s="12">
        <v>0</v>
      </c>
      <c r="J10" s="12">
        <f t="shared" si="3"/>
        <v>44750</v>
      </c>
    </row>
    <row r="11" spans="1:10" x14ac:dyDescent="0.25">
      <c r="A11" s="13">
        <v>7</v>
      </c>
      <c r="B11" s="14">
        <f t="shared" si="5"/>
        <v>27370</v>
      </c>
      <c r="C11" s="15">
        <f t="shared" si="4"/>
        <v>45240</v>
      </c>
      <c r="D11" s="10">
        <f t="shared" si="0"/>
        <v>5509</v>
      </c>
      <c r="E11" s="15">
        <f t="shared" si="6"/>
        <v>39731</v>
      </c>
      <c r="F11" s="11">
        <f t="shared" si="1"/>
        <v>45240</v>
      </c>
      <c r="G11" s="10">
        <f t="shared" si="2"/>
        <v>2755</v>
      </c>
      <c r="H11" s="15">
        <f t="shared" si="7"/>
        <v>42486</v>
      </c>
      <c r="I11" s="12">
        <v>0</v>
      </c>
      <c r="J11" s="12">
        <f t="shared" si="3"/>
        <v>45240</v>
      </c>
    </row>
    <row r="12" spans="1:10" x14ac:dyDescent="0.25">
      <c r="A12" s="13">
        <v>8</v>
      </c>
      <c r="B12" s="14">
        <f t="shared" si="5"/>
        <v>27640</v>
      </c>
      <c r="C12" s="15">
        <f t="shared" si="4"/>
        <v>45730</v>
      </c>
      <c r="D12" s="10">
        <f t="shared" si="0"/>
        <v>5663</v>
      </c>
      <c r="E12" s="15">
        <f t="shared" si="6"/>
        <v>40067</v>
      </c>
      <c r="F12" s="11">
        <f t="shared" si="1"/>
        <v>45730</v>
      </c>
      <c r="G12" s="10">
        <f t="shared" si="2"/>
        <v>2832</v>
      </c>
      <c r="H12" s="15">
        <f t="shared" si="7"/>
        <v>42899</v>
      </c>
      <c r="I12" s="12">
        <v>0</v>
      </c>
      <c r="J12" s="12">
        <f t="shared" si="3"/>
        <v>45730</v>
      </c>
    </row>
    <row r="13" spans="1:10" x14ac:dyDescent="0.25">
      <c r="A13" s="13">
        <v>9</v>
      </c>
      <c r="B13" s="14">
        <f t="shared" si="5"/>
        <v>27910</v>
      </c>
      <c r="C13" s="15">
        <f t="shared" si="4"/>
        <v>46220</v>
      </c>
      <c r="D13" s="10">
        <f t="shared" si="0"/>
        <v>5817</v>
      </c>
      <c r="E13" s="15">
        <f t="shared" si="6"/>
        <v>40403</v>
      </c>
      <c r="F13" s="11">
        <f t="shared" si="1"/>
        <v>46220</v>
      </c>
      <c r="G13" s="10">
        <f t="shared" si="2"/>
        <v>2909</v>
      </c>
      <c r="H13" s="15">
        <f t="shared" si="7"/>
        <v>43312</v>
      </c>
      <c r="I13" s="12">
        <v>0</v>
      </c>
      <c r="J13" s="12">
        <f t="shared" si="3"/>
        <v>46220</v>
      </c>
    </row>
    <row r="14" spans="1:10" x14ac:dyDescent="0.25">
      <c r="A14" s="13">
        <v>10</v>
      </c>
      <c r="B14" s="14">
        <f t="shared" si="5"/>
        <v>28180</v>
      </c>
      <c r="C14" s="15">
        <f t="shared" si="4"/>
        <v>46710</v>
      </c>
      <c r="D14" s="10">
        <f t="shared" si="0"/>
        <v>5971</v>
      </c>
      <c r="E14" s="15">
        <f t="shared" si="6"/>
        <v>40739</v>
      </c>
      <c r="F14" s="11">
        <f t="shared" si="1"/>
        <v>46710</v>
      </c>
      <c r="G14" s="10">
        <f t="shared" si="2"/>
        <v>2986</v>
      </c>
      <c r="H14" s="15">
        <f t="shared" si="7"/>
        <v>43725</v>
      </c>
      <c r="I14" s="12">
        <v>0</v>
      </c>
      <c r="J14" s="12">
        <f t="shared" si="3"/>
        <v>46710</v>
      </c>
    </row>
    <row r="15" spans="1:10" x14ac:dyDescent="0.25">
      <c r="A15" s="13">
        <v>11</v>
      </c>
      <c r="B15" s="14">
        <f t="shared" si="5"/>
        <v>28450</v>
      </c>
      <c r="C15" s="15">
        <f t="shared" si="4"/>
        <v>47200</v>
      </c>
      <c r="D15" s="10">
        <f t="shared" si="0"/>
        <v>6125</v>
      </c>
      <c r="E15" s="15">
        <f t="shared" si="6"/>
        <v>41075</v>
      </c>
      <c r="F15" s="11">
        <f t="shared" si="1"/>
        <v>47200</v>
      </c>
      <c r="G15" s="10">
        <f t="shared" si="2"/>
        <v>3063</v>
      </c>
      <c r="H15" s="15">
        <f t="shared" si="7"/>
        <v>44138</v>
      </c>
      <c r="I15" s="12">
        <v>0</v>
      </c>
      <c r="J15" s="12">
        <f t="shared" si="3"/>
        <v>47200</v>
      </c>
    </row>
    <row r="16" spans="1:10" x14ac:dyDescent="0.25">
      <c r="A16" s="13">
        <v>12</v>
      </c>
      <c r="B16" s="14">
        <f t="shared" si="5"/>
        <v>28720</v>
      </c>
      <c r="C16" s="15">
        <f t="shared" si="4"/>
        <v>47690</v>
      </c>
      <c r="D16" s="10">
        <f t="shared" si="0"/>
        <v>6279</v>
      </c>
      <c r="E16" s="15">
        <f t="shared" si="6"/>
        <v>41411</v>
      </c>
      <c r="F16" s="11">
        <f t="shared" si="1"/>
        <v>47690</v>
      </c>
      <c r="G16" s="10">
        <f t="shared" si="2"/>
        <v>3140</v>
      </c>
      <c r="H16" s="15">
        <f t="shared" si="7"/>
        <v>44551</v>
      </c>
      <c r="I16" s="12">
        <v>0</v>
      </c>
      <c r="J16" s="12">
        <f t="shared" si="3"/>
        <v>47690</v>
      </c>
    </row>
    <row r="17" spans="1:10" x14ac:dyDescent="0.25">
      <c r="A17" s="13">
        <v>13</v>
      </c>
      <c r="B17" s="14">
        <f t="shared" si="5"/>
        <v>28990</v>
      </c>
      <c r="C17" s="15">
        <f t="shared" si="4"/>
        <v>48180</v>
      </c>
      <c r="D17" s="10">
        <f t="shared" si="0"/>
        <v>6433</v>
      </c>
      <c r="E17" s="15">
        <f t="shared" si="6"/>
        <v>41747</v>
      </c>
      <c r="F17" s="11">
        <f t="shared" si="1"/>
        <v>48180</v>
      </c>
      <c r="G17" s="10">
        <f t="shared" si="2"/>
        <v>3217</v>
      </c>
      <c r="H17" s="15">
        <f t="shared" si="7"/>
        <v>44964</v>
      </c>
      <c r="I17" s="12">
        <v>0</v>
      </c>
      <c r="J17" s="12">
        <f t="shared" si="3"/>
        <v>48180</v>
      </c>
    </row>
    <row r="18" spans="1:10" x14ac:dyDescent="0.25">
      <c r="A18" s="13">
        <v>14</v>
      </c>
      <c r="B18" s="14">
        <f t="shared" si="5"/>
        <v>29260</v>
      </c>
      <c r="C18" s="15">
        <f t="shared" si="4"/>
        <v>48670</v>
      </c>
      <c r="D18" s="10">
        <f t="shared" si="0"/>
        <v>6587</v>
      </c>
      <c r="E18" s="15">
        <f t="shared" si="6"/>
        <v>42083</v>
      </c>
      <c r="F18" s="11">
        <f t="shared" si="1"/>
        <v>48670</v>
      </c>
      <c r="G18" s="10">
        <f t="shared" si="2"/>
        <v>3294</v>
      </c>
      <c r="H18" s="15">
        <f t="shared" si="7"/>
        <v>45377</v>
      </c>
      <c r="I18" s="12">
        <v>0</v>
      </c>
      <c r="J18" s="12">
        <f t="shared" si="3"/>
        <v>48670</v>
      </c>
    </row>
    <row r="19" spans="1:10" x14ac:dyDescent="0.25">
      <c r="A19" s="13">
        <v>15</v>
      </c>
      <c r="B19" s="14">
        <f t="shared" si="5"/>
        <v>29530</v>
      </c>
      <c r="C19" s="15">
        <f t="shared" si="4"/>
        <v>49160</v>
      </c>
      <c r="D19" s="10">
        <f t="shared" si="0"/>
        <v>6741</v>
      </c>
      <c r="E19" s="15">
        <f t="shared" si="6"/>
        <v>42419</v>
      </c>
      <c r="F19" s="11">
        <f t="shared" si="1"/>
        <v>49160</v>
      </c>
      <c r="G19" s="10">
        <f t="shared" si="2"/>
        <v>3371</v>
      </c>
      <c r="H19" s="15">
        <f t="shared" si="7"/>
        <v>45790</v>
      </c>
      <c r="I19" s="12">
        <v>0</v>
      </c>
      <c r="J19" s="12">
        <f t="shared" si="3"/>
        <v>49160</v>
      </c>
    </row>
    <row r="20" spans="1:10" x14ac:dyDescent="0.25">
      <c r="A20" s="13">
        <v>16</v>
      </c>
      <c r="B20" s="14">
        <f t="shared" si="5"/>
        <v>29800</v>
      </c>
      <c r="C20" s="15">
        <f t="shared" si="4"/>
        <v>49650</v>
      </c>
      <c r="D20" s="10">
        <f t="shared" si="0"/>
        <v>6895</v>
      </c>
      <c r="E20" s="15">
        <f t="shared" si="6"/>
        <v>42755</v>
      </c>
      <c r="F20" s="11">
        <f t="shared" si="1"/>
        <v>49650</v>
      </c>
      <c r="G20" s="10">
        <f t="shared" si="2"/>
        <v>3448</v>
      </c>
      <c r="H20" s="15">
        <f t="shared" si="7"/>
        <v>46203</v>
      </c>
      <c r="I20" s="12">
        <v>0</v>
      </c>
      <c r="J20" s="12">
        <f t="shared" si="3"/>
        <v>49650</v>
      </c>
    </row>
    <row r="21" spans="1:10" x14ac:dyDescent="0.25">
      <c r="A21" s="13">
        <v>17</v>
      </c>
      <c r="B21" s="14">
        <f t="shared" si="5"/>
        <v>30070</v>
      </c>
      <c r="C21" s="15">
        <f t="shared" si="4"/>
        <v>50140</v>
      </c>
      <c r="D21" s="10">
        <f t="shared" si="0"/>
        <v>7049</v>
      </c>
      <c r="E21" s="15">
        <f t="shared" si="6"/>
        <v>43091</v>
      </c>
      <c r="F21" s="11">
        <f t="shared" si="1"/>
        <v>50140</v>
      </c>
      <c r="G21" s="10">
        <f t="shared" si="2"/>
        <v>3525</v>
      </c>
      <c r="H21" s="15">
        <f t="shared" si="7"/>
        <v>46616</v>
      </c>
      <c r="I21" s="12">
        <v>0</v>
      </c>
      <c r="J21" s="12">
        <f t="shared" si="3"/>
        <v>50140</v>
      </c>
    </row>
    <row r="22" spans="1:10" x14ac:dyDescent="0.25">
      <c r="A22" s="13">
        <v>18</v>
      </c>
      <c r="B22" s="14">
        <f t="shared" si="5"/>
        <v>30340</v>
      </c>
      <c r="C22" s="15">
        <f t="shared" si="4"/>
        <v>50630</v>
      </c>
      <c r="D22" s="10">
        <f t="shared" si="0"/>
        <v>7203</v>
      </c>
      <c r="E22" s="15">
        <f t="shared" si="6"/>
        <v>43427</v>
      </c>
      <c r="F22" s="11">
        <f t="shared" si="1"/>
        <v>50630</v>
      </c>
      <c r="G22" s="10">
        <f t="shared" si="2"/>
        <v>3602</v>
      </c>
      <c r="H22" s="15">
        <f t="shared" si="7"/>
        <v>47029</v>
      </c>
      <c r="I22" s="12">
        <v>0</v>
      </c>
      <c r="J22" s="12">
        <f t="shared" si="3"/>
        <v>50630</v>
      </c>
    </row>
    <row r="23" spans="1:10" ht="15.75" thickBot="1" x14ac:dyDescent="0.3">
      <c r="A23" s="16">
        <v>19</v>
      </c>
      <c r="B23" s="17">
        <f t="shared" si="5"/>
        <v>30610</v>
      </c>
      <c r="C23" s="18">
        <f t="shared" si="4"/>
        <v>51120</v>
      </c>
      <c r="D23" s="19">
        <f t="shared" si="0"/>
        <v>7357</v>
      </c>
      <c r="E23" s="18">
        <f t="shared" si="6"/>
        <v>43763</v>
      </c>
      <c r="F23" s="20">
        <f t="shared" si="1"/>
        <v>51120</v>
      </c>
      <c r="G23" s="19">
        <f t="shared" si="2"/>
        <v>3679</v>
      </c>
      <c r="H23" s="18">
        <f t="shared" si="7"/>
        <v>47442</v>
      </c>
      <c r="I23" s="21">
        <v>0</v>
      </c>
      <c r="J23" s="21">
        <f t="shared" si="3"/>
        <v>51120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19"/>
  <sheetViews>
    <sheetView workbookViewId="0">
      <selection activeCell="G10" sqref="G10"/>
    </sheetView>
  </sheetViews>
  <sheetFormatPr defaultRowHeight="15" x14ac:dyDescent="0.25"/>
  <cols>
    <col min="3" max="10" width="13.5703125" customWidth="1"/>
  </cols>
  <sheetData>
    <row r="1" spans="1:10" ht="23.25" x14ac:dyDescent="0.35">
      <c r="A1" s="47" t="s">
        <v>13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2">
        <v>12</v>
      </c>
      <c r="B5" s="23">
        <v>28750</v>
      </c>
      <c r="C5" s="24">
        <v>47740</v>
      </c>
      <c r="D5" s="23">
        <f>C5-E5</f>
        <v>6293</v>
      </c>
      <c r="E5" s="24">
        <f>41447</f>
        <v>41447</v>
      </c>
      <c r="F5" s="25">
        <f>C5</f>
        <v>47740</v>
      </c>
      <c r="G5" s="23">
        <f>F5-H5+1</f>
        <v>3147</v>
      </c>
      <c r="H5" s="24">
        <v>44594</v>
      </c>
      <c r="I5" s="26">
        <v>0</v>
      </c>
      <c r="J5" s="26">
        <f>F5</f>
        <v>47740</v>
      </c>
    </row>
    <row r="6" spans="1:10" x14ac:dyDescent="0.25">
      <c r="A6" s="13">
        <v>13</v>
      </c>
      <c r="B6" s="14">
        <v>29050</v>
      </c>
      <c r="C6" s="15">
        <f>C5+540</f>
        <v>48280</v>
      </c>
      <c r="D6" s="10">
        <f t="shared" ref="D6:D19" si="0">C6-E6</f>
        <v>6461</v>
      </c>
      <c r="E6" s="15">
        <v>41819</v>
      </c>
      <c r="F6" s="11">
        <f t="shared" ref="F6:F19" si="1">C6</f>
        <v>48280</v>
      </c>
      <c r="G6" s="10">
        <f t="shared" ref="G6:G19" si="2">F6-H6+1</f>
        <v>3231</v>
      </c>
      <c r="H6" s="15">
        <v>45050</v>
      </c>
      <c r="I6" s="12">
        <v>0</v>
      </c>
      <c r="J6" s="12">
        <f t="shared" ref="J6:J19" si="3">F6</f>
        <v>48280</v>
      </c>
    </row>
    <row r="7" spans="1:10" x14ac:dyDescent="0.25">
      <c r="A7" s="13">
        <v>14</v>
      </c>
      <c r="B7" s="14">
        <f>B6+300</f>
        <v>29350</v>
      </c>
      <c r="C7" s="15">
        <f t="shared" ref="C7:C19" si="4">C6+540</f>
        <v>48820</v>
      </c>
      <c r="D7" s="10">
        <f t="shared" si="0"/>
        <v>6629</v>
      </c>
      <c r="E7" s="15">
        <f>E6+372</f>
        <v>42191</v>
      </c>
      <c r="F7" s="11">
        <f t="shared" si="1"/>
        <v>48820</v>
      </c>
      <c r="G7" s="10">
        <f t="shared" si="2"/>
        <v>3315</v>
      </c>
      <c r="H7" s="15">
        <f>H6+456</f>
        <v>45506</v>
      </c>
      <c r="I7" s="12">
        <v>0</v>
      </c>
      <c r="J7" s="12">
        <f t="shared" si="3"/>
        <v>48820</v>
      </c>
    </row>
    <row r="8" spans="1:10" x14ac:dyDescent="0.25">
      <c r="A8" s="13">
        <v>15</v>
      </c>
      <c r="B8" s="14">
        <f t="shared" ref="B8:B19" si="5">B7+300</f>
        <v>29650</v>
      </c>
      <c r="C8" s="15">
        <f t="shared" si="4"/>
        <v>49360</v>
      </c>
      <c r="D8" s="10">
        <f t="shared" si="0"/>
        <v>6797</v>
      </c>
      <c r="E8" s="15">
        <f t="shared" ref="E8:E19" si="6">E7+372</f>
        <v>42563</v>
      </c>
      <c r="F8" s="11">
        <f t="shared" si="1"/>
        <v>49360</v>
      </c>
      <c r="G8" s="10">
        <f t="shared" si="2"/>
        <v>3399</v>
      </c>
      <c r="H8" s="15">
        <f t="shared" ref="H8:H19" si="7">H7+456</f>
        <v>45962</v>
      </c>
      <c r="I8" s="12">
        <v>0</v>
      </c>
      <c r="J8" s="12">
        <f t="shared" si="3"/>
        <v>49360</v>
      </c>
    </row>
    <row r="9" spans="1:10" x14ac:dyDescent="0.25">
      <c r="A9" s="13">
        <v>16</v>
      </c>
      <c r="B9" s="14">
        <f t="shared" si="5"/>
        <v>29950</v>
      </c>
      <c r="C9" s="15">
        <f t="shared" si="4"/>
        <v>49900</v>
      </c>
      <c r="D9" s="10">
        <f t="shared" si="0"/>
        <v>6965</v>
      </c>
      <c r="E9" s="15">
        <f t="shared" si="6"/>
        <v>42935</v>
      </c>
      <c r="F9" s="11">
        <f t="shared" si="1"/>
        <v>49900</v>
      </c>
      <c r="G9" s="10">
        <f t="shared" si="2"/>
        <v>3483</v>
      </c>
      <c r="H9" s="15">
        <f t="shared" si="7"/>
        <v>46418</v>
      </c>
      <c r="I9" s="12">
        <v>0</v>
      </c>
      <c r="J9" s="12">
        <f t="shared" si="3"/>
        <v>49900</v>
      </c>
    </row>
    <row r="10" spans="1:10" x14ac:dyDescent="0.25">
      <c r="A10" s="13">
        <v>17</v>
      </c>
      <c r="B10" s="14">
        <f t="shared" si="5"/>
        <v>30250</v>
      </c>
      <c r="C10" s="15">
        <f t="shared" si="4"/>
        <v>50440</v>
      </c>
      <c r="D10" s="10">
        <f t="shared" si="0"/>
        <v>7133</v>
      </c>
      <c r="E10" s="15">
        <f t="shared" si="6"/>
        <v>43307</v>
      </c>
      <c r="F10" s="11">
        <f t="shared" si="1"/>
        <v>50440</v>
      </c>
      <c r="G10" s="10">
        <f t="shared" si="2"/>
        <v>3567</v>
      </c>
      <c r="H10" s="15">
        <f t="shared" si="7"/>
        <v>46874</v>
      </c>
      <c r="I10" s="12">
        <v>0</v>
      </c>
      <c r="J10" s="12">
        <f t="shared" si="3"/>
        <v>50440</v>
      </c>
    </row>
    <row r="11" spans="1:10" x14ac:dyDescent="0.25">
      <c r="A11" s="13">
        <v>18</v>
      </c>
      <c r="B11" s="14">
        <f t="shared" si="5"/>
        <v>30550</v>
      </c>
      <c r="C11" s="15">
        <f t="shared" si="4"/>
        <v>50980</v>
      </c>
      <c r="D11" s="10">
        <f t="shared" si="0"/>
        <v>7301</v>
      </c>
      <c r="E11" s="15">
        <f t="shared" si="6"/>
        <v>43679</v>
      </c>
      <c r="F11" s="11">
        <f t="shared" si="1"/>
        <v>50980</v>
      </c>
      <c r="G11" s="10">
        <f t="shared" si="2"/>
        <v>3651</v>
      </c>
      <c r="H11" s="15">
        <f t="shared" si="7"/>
        <v>47330</v>
      </c>
      <c r="I11" s="12">
        <v>0</v>
      </c>
      <c r="J11" s="12">
        <f t="shared" si="3"/>
        <v>50980</v>
      </c>
    </row>
    <row r="12" spans="1:10" x14ac:dyDescent="0.25">
      <c r="A12" s="13">
        <v>19</v>
      </c>
      <c r="B12" s="14">
        <f t="shared" si="5"/>
        <v>30850</v>
      </c>
      <c r="C12" s="15">
        <f t="shared" si="4"/>
        <v>51520</v>
      </c>
      <c r="D12" s="10">
        <f t="shared" si="0"/>
        <v>7469</v>
      </c>
      <c r="E12" s="15">
        <f t="shared" si="6"/>
        <v>44051</v>
      </c>
      <c r="F12" s="11">
        <f t="shared" si="1"/>
        <v>51520</v>
      </c>
      <c r="G12" s="10">
        <f t="shared" si="2"/>
        <v>3735</v>
      </c>
      <c r="H12" s="15">
        <f t="shared" si="7"/>
        <v>47786</v>
      </c>
      <c r="I12" s="12">
        <v>0</v>
      </c>
      <c r="J12" s="12">
        <f t="shared" si="3"/>
        <v>51520</v>
      </c>
    </row>
    <row r="13" spans="1:10" x14ac:dyDescent="0.25">
      <c r="A13" s="13">
        <v>20</v>
      </c>
      <c r="B13" s="14">
        <f t="shared" si="5"/>
        <v>31150</v>
      </c>
      <c r="C13" s="15">
        <f t="shared" si="4"/>
        <v>52060</v>
      </c>
      <c r="D13" s="10">
        <f t="shared" si="0"/>
        <v>7637</v>
      </c>
      <c r="E13" s="15">
        <f t="shared" si="6"/>
        <v>44423</v>
      </c>
      <c r="F13" s="11">
        <f t="shared" si="1"/>
        <v>52060</v>
      </c>
      <c r="G13" s="10">
        <f t="shared" si="2"/>
        <v>3819</v>
      </c>
      <c r="H13" s="15">
        <f t="shared" si="7"/>
        <v>48242</v>
      </c>
      <c r="I13" s="12">
        <v>0</v>
      </c>
      <c r="J13" s="12">
        <f t="shared" si="3"/>
        <v>52060</v>
      </c>
    </row>
    <row r="14" spans="1:10" x14ac:dyDescent="0.25">
      <c r="A14" s="13">
        <v>21</v>
      </c>
      <c r="B14" s="14">
        <f t="shared" si="5"/>
        <v>31450</v>
      </c>
      <c r="C14" s="15">
        <f t="shared" si="4"/>
        <v>52600</v>
      </c>
      <c r="D14" s="10">
        <f t="shared" si="0"/>
        <v>7805</v>
      </c>
      <c r="E14" s="15">
        <f t="shared" si="6"/>
        <v>44795</v>
      </c>
      <c r="F14" s="11">
        <f t="shared" si="1"/>
        <v>52600</v>
      </c>
      <c r="G14" s="10">
        <f t="shared" si="2"/>
        <v>3903</v>
      </c>
      <c r="H14" s="15">
        <f t="shared" si="7"/>
        <v>48698</v>
      </c>
      <c r="I14" s="12">
        <v>0</v>
      </c>
      <c r="J14" s="12">
        <f t="shared" si="3"/>
        <v>52600</v>
      </c>
    </row>
    <row r="15" spans="1:10" x14ac:dyDescent="0.25">
      <c r="A15" s="13">
        <v>22</v>
      </c>
      <c r="B15" s="14">
        <f t="shared" si="5"/>
        <v>31750</v>
      </c>
      <c r="C15" s="15">
        <f t="shared" si="4"/>
        <v>53140</v>
      </c>
      <c r="D15" s="10">
        <f t="shared" si="0"/>
        <v>7973</v>
      </c>
      <c r="E15" s="15">
        <f t="shared" si="6"/>
        <v>45167</v>
      </c>
      <c r="F15" s="11">
        <f t="shared" si="1"/>
        <v>53140</v>
      </c>
      <c r="G15" s="10">
        <f t="shared" si="2"/>
        <v>3987</v>
      </c>
      <c r="H15" s="15">
        <f t="shared" si="7"/>
        <v>49154</v>
      </c>
      <c r="I15" s="12">
        <v>0</v>
      </c>
      <c r="J15" s="12">
        <f t="shared" si="3"/>
        <v>53140</v>
      </c>
    </row>
    <row r="16" spans="1:10" x14ac:dyDescent="0.25">
      <c r="A16" s="13">
        <v>23</v>
      </c>
      <c r="B16" s="14">
        <f t="shared" si="5"/>
        <v>32050</v>
      </c>
      <c r="C16" s="15">
        <f t="shared" si="4"/>
        <v>53680</v>
      </c>
      <c r="D16" s="10">
        <f t="shared" si="0"/>
        <v>8141</v>
      </c>
      <c r="E16" s="15">
        <f t="shared" si="6"/>
        <v>45539</v>
      </c>
      <c r="F16" s="11">
        <f t="shared" si="1"/>
        <v>53680</v>
      </c>
      <c r="G16" s="10">
        <f t="shared" si="2"/>
        <v>4071</v>
      </c>
      <c r="H16" s="15">
        <f t="shared" si="7"/>
        <v>49610</v>
      </c>
      <c r="I16" s="12">
        <v>0</v>
      </c>
      <c r="J16" s="12">
        <f t="shared" si="3"/>
        <v>53680</v>
      </c>
    </row>
    <row r="17" spans="1:10" x14ac:dyDescent="0.25">
      <c r="A17" s="13">
        <v>24</v>
      </c>
      <c r="B17" s="14">
        <f t="shared" si="5"/>
        <v>32350</v>
      </c>
      <c r="C17" s="15">
        <f t="shared" si="4"/>
        <v>54220</v>
      </c>
      <c r="D17" s="10">
        <f t="shared" si="0"/>
        <v>8309</v>
      </c>
      <c r="E17" s="15">
        <f t="shared" si="6"/>
        <v>45911</v>
      </c>
      <c r="F17" s="11">
        <f t="shared" si="1"/>
        <v>54220</v>
      </c>
      <c r="G17" s="10">
        <f t="shared" si="2"/>
        <v>4155</v>
      </c>
      <c r="H17" s="15">
        <f t="shared" si="7"/>
        <v>50066</v>
      </c>
      <c r="I17" s="12">
        <v>0</v>
      </c>
      <c r="J17" s="12">
        <f t="shared" si="3"/>
        <v>54220</v>
      </c>
    </row>
    <row r="18" spans="1:10" x14ac:dyDescent="0.25">
      <c r="A18" s="13">
        <v>25</v>
      </c>
      <c r="B18" s="14">
        <f t="shared" si="5"/>
        <v>32650</v>
      </c>
      <c r="C18" s="15">
        <f t="shared" si="4"/>
        <v>54760</v>
      </c>
      <c r="D18" s="10">
        <f t="shared" si="0"/>
        <v>8477</v>
      </c>
      <c r="E18" s="15">
        <f t="shared" si="6"/>
        <v>46283</v>
      </c>
      <c r="F18" s="11">
        <f t="shared" si="1"/>
        <v>54760</v>
      </c>
      <c r="G18" s="10">
        <f t="shared" si="2"/>
        <v>4239</v>
      </c>
      <c r="H18" s="15">
        <f t="shared" si="7"/>
        <v>50522</v>
      </c>
      <c r="I18" s="12">
        <v>0</v>
      </c>
      <c r="J18" s="12">
        <f t="shared" si="3"/>
        <v>54760</v>
      </c>
    </row>
    <row r="19" spans="1:10" ht="15.75" thickBot="1" x14ac:dyDescent="0.3">
      <c r="A19" s="16">
        <v>26</v>
      </c>
      <c r="B19" s="17">
        <f t="shared" si="5"/>
        <v>32950</v>
      </c>
      <c r="C19" s="18">
        <f t="shared" si="4"/>
        <v>55300</v>
      </c>
      <c r="D19" s="19">
        <f t="shared" si="0"/>
        <v>8645</v>
      </c>
      <c r="E19" s="18">
        <f t="shared" si="6"/>
        <v>46655</v>
      </c>
      <c r="F19" s="20">
        <f t="shared" si="1"/>
        <v>55300</v>
      </c>
      <c r="G19" s="19">
        <f t="shared" si="2"/>
        <v>4323</v>
      </c>
      <c r="H19" s="18">
        <f t="shared" si="7"/>
        <v>50978</v>
      </c>
      <c r="I19" s="21">
        <v>0</v>
      </c>
      <c r="J19" s="21">
        <f t="shared" si="3"/>
        <v>55300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26"/>
  <sheetViews>
    <sheetView workbookViewId="0">
      <selection activeCell="H23" sqref="H23"/>
    </sheetView>
  </sheetViews>
  <sheetFormatPr defaultRowHeight="15" x14ac:dyDescent="0.25"/>
  <cols>
    <col min="2" max="10" width="12.7109375" customWidth="1"/>
  </cols>
  <sheetData>
    <row r="1" spans="1:10" ht="23.25" x14ac:dyDescent="0.35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2">
        <v>22</v>
      </c>
      <c r="B5" s="23">
        <v>31780</v>
      </c>
      <c r="C5" s="24">
        <v>53190</v>
      </c>
      <c r="D5" s="23">
        <f>C5-E5</f>
        <v>7987</v>
      </c>
      <c r="E5" s="24">
        <f>45203</f>
        <v>45203</v>
      </c>
      <c r="F5" s="25">
        <f>C5</f>
        <v>53190</v>
      </c>
      <c r="G5" s="23">
        <f>F5-H5+1</f>
        <v>3994</v>
      </c>
      <c r="H5" s="24">
        <f>49197</f>
        <v>49197</v>
      </c>
      <c r="I5" s="26">
        <v>0</v>
      </c>
      <c r="J5" s="26">
        <f>F5</f>
        <v>53190</v>
      </c>
    </row>
    <row r="6" spans="1:10" x14ac:dyDescent="0.25">
      <c r="A6" s="13">
        <v>23</v>
      </c>
      <c r="B6" s="14">
        <v>32110</v>
      </c>
      <c r="C6" s="15">
        <f>C5+590</f>
        <v>53780</v>
      </c>
      <c r="D6" s="10">
        <f t="shared" ref="D6:D26" si="0">C6-E6</f>
        <v>8169</v>
      </c>
      <c r="E6" s="15">
        <v>45611</v>
      </c>
      <c r="F6" s="11">
        <f t="shared" ref="F6:F26" si="1">C6</f>
        <v>53780</v>
      </c>
      <c r="G6" s="10">
        <f t="shared" ref="G6:G26" si="2">F6-H6+1</f>
        <v>4085</v>
      </c>
      <c r="H6" s="15">
        <v>49696</v>
      </c>
      <c r="I6" s="12">
        <v>0</v>
      </c>
      <c r="J6" s="12">
        <f t="shared" ref="J6:J26" si="3">F6</f>
        <v>53780</v>
      </c>
    </row>
    <row r="7" spans="1:10" x14ac:dyDescent="0.25">
      <c r="A7" s="13">
        <v>24</v>
      </c>
      <c r="B7" s="14">
        <f>B6+330</f>
        <v>32440</v>
      </c>
      <c r="C7" s="15">
        <f t="shared" ref="C7:C14" si="4">C6+590</f>
        <v>54370</v>
      </c>
      <c r="D7" s="10">
        <f t="shared" si="0"/>
        <v>8351</v>
      </c>
      <c r="E7" s="15">
        <f>E6+408</f>
        <v>46019</v>
      </c>
      <c r="F7" s="11">
        <f t="shared" si="1"/>
        <v>54370</v>
      </c>
      <c r="G7" s="10">
        <f t="shared" si="2"/>
        <v>4176</v>
      </c>
      <c r="H7" s="15">
        <f>H6+499</f>
        <v>50195</v>
      </c>
      <c r="I7" s="12">
        <v>0</v>
      </c>
      <c r="J7" s="12">
        <f t="shared" si="3"/>
        <v>54370</v>
      </c>
    </row>
    <row r="8" spans="1:10" x14ac:dyDescent="0.25">
      <c r="A8" s="13">
        <v>25</v>
      </c>
      <c r="B8" s="14">
        <f t="shared" ref="B8:B14" si="5">B7+330</f>
        <v>32770</v>
      </c>
      <c r="C8" s="15">
        <f t="shared" si="4"/>
        <v>54960</v>
      </c>
      <c r="D8" s="10">
        <f t="shared" si="0"/>
        <v>8533</v>
      </c>
      <c r="E8" s="15">
        <f t="shared" ref="E8:E14" si="6">E7+408</f>
        <v>46427</v>
      </c>
      <c r="F8" s="11">
        <f t="shared" si="1"/>
        <v>54960</v>
      </c>
      <c r="G8" s="10">
        <f t="shared" si="2"/>
        <v>4267</v>
      </c>
      <c r="H8" s="15">
        <f t="shared" ref="H8:H14" si="7">H7+499</f>
        <v>50694</v>
      </c>
      <c r="I8" s="12">
        <v>0</v>
      </c>
      <c r="J8" s="12">
        <f t="shared" si="3"/>
        <v>54960</v>
      </c>
    </row>
    <row r="9" spans="1:10" x14ac:dyDescent="0.25">
      <c r="A9" s="13">
        <v>26</v>
      </c>
      <c r="B9" s="14">
        <f t="shared" si="5"/>
        <v>33100</v>
      </c>
      <c r="C9" s="15">
        <f t="shared" si="4"/>
        <v>55550</v>
      </c>
      <c r="D9" s="10">
        <f t="shared" si="0"/>
        <v>8715</v>
      </c>
      <c r="E9" s="15">
        <f t="shared" si="6"/>
        <v>46835</v>
      </c>
      <c r="F9" s="11">
        <f t="shared" si="1"/>
        <v>55550</v>
      </c>
      <c r="G9" s="10">
        <f t="shared" si="2"/>
        <v>4358</v>
      </c>
      <c r="H9" s="15">
        <f t="shared" si="7"/>
        <v>51193</v>
      </c>
      <c r="I9" s="12">
        <v>0</v>
      </c>
      <c r="J9" s="12">
        <f t="shared" si="3"/>
        <v>55550</v>
      </c>
    </row>
    <row r="10" spans="1:10" x14ac:dyDescent="0.25">
      <c r="A10" s="13">
        <v>27</v>
      </c>
      <c r="B10" s="14">
        <f t="shared" si="5"/>
        <v>33430</v>
      </c>
      <c r="C10" s="15">
        <f t="shared" si="4"/>
        <v>56140</v>
      </c>
      <c r="D10" s="10">
        <f t="shared" si="0"/>
        <v>8897</v>
      </c>
      <c r="E10" s="15">
        <f t="shared" si="6"/>
        <v>47243</v>
      </c>
      <c r="F10" s="11">
        <f t="shared" si="1"/>
        <v>56140</v>
      </c>
      <c r="G10" s="10">
        <f t="shared" si="2"/>
        <v>4449</v>
      </c>
      <c r="H10" s="15">
        <f t="shared" si="7"/>
        <v>51692</v>
      </c>
      <c r="I10" s="12">
        <v>0</v>
      </c>
      <c r="J10" s="12">
        <f t="shared" si="3"/>
        <v>56140</v>
      </c>
    </row>
    <row r="11" spans="1:10" x14ac:dyDescent="0.25">
      <c r="A11" s="13">
        <v>28</v>
      </c>
      <c r="B11" s="14">
        <f t="shared" si="5"/>
        <v>33760</v>
      </c>
      <c r="C11" s="15">
        <f t="shared" si="4"/>
        <v>56730</v>
      </c>
      <c r="D11" s="10">
        <f t="shared" si="0"/>
        <v>9079</v>
      </c>
      <c r="E11" s="15">
        <f t="shared" si="6"/>
        <v>47651</v>
      </c>
      <c r="F11" s="11">
        <f t="shared" si="1"/>
        <v>56730</v>
      </c>
      <c r="G11" s="10">
        <f t="shared" si="2"/>
        <v>4540</v>
      </c>
      <c r="H11" s="15">
        <f t="shared" si="7"/>
        <v>52191</v>
      </c>
      <c r="I11" s="12">
        <v>0</v>
      </c>
      <c r="J11" s="12">
        <f t="shared" si="3"/>
        <v>56730</v>
      </c>
    </row>
    <row r="12" spans="1:10" x14ac:dyDescent="0.25">
      <c r="A12" s="13">
        <v>29</v>
      </c>
      <c r="B12" s="14">
        <f t="shared" si="5"/>
        <v>34090</v>
      </c>
      <c r="C12" s="15">
        <f t="shared" si="4"/>
        <v>57320</v>
      </c>
      <c r="D12" s="10">
        <f t="shared" si="0"/>
        <v>9261</v>
      </c>
      <c r="E12" s="15">
        <f t="shared" si="6"/>
        <v>48059</v>
      </c>
      <c r="F12" s="11">
        <f t="shared" si="1"/>
        <v>57320</v>
      </c>
      <c r="G12" s="10">
        <f t="shared" si="2"/>
        <v>4631</v>
      </c>
      <c r="H12" s="15">
        <f t="shared" si="7"/>
        <v>52690</v>
      </c>
      <c r="I12" s="12">
        <v>0</v>
      </c>
      <c r="J12" s="12">
        <f t="shared" si="3"/>
        <v>57320</v>
      </c>
    </row>
    <row r="13" spans="1:10" x14ac:dyDescent="0.25">
      <c r="A13" s="13">
        <v>30</v>
      </c>
      <c r="B13" s="14">
        <f t="shared" si="5"/>
        <v>34420</v>
      </c>
      <c r="C13" s="15">
        <f t="shared" si="4"/>
        <v>57910</v>
      </c>
      <c r="D13" s="10">
        <f t="shared" si="0"/>
        <v>9443</v>
      </c>
      <c r="E13" s="15">
        <f t="shared" si="6"/>
        <v>48467</v>
      </c>
      <c r="F13" s="11">
        <f t="shared" si="1"/>
        <v>57910</v>
      </c>
      <c r="G13" s="10">
        <f t="shared" si="2"/>
        <v>4722</v>
      </c>
      <c r="H13" s="15">
        <f t="shared" si="7"/>
        <v>53189</v>
      </c>
      <c r="I13" s="12">
        <v>0</v>
      </c>
      <c r="J13" s="12">
        <f t="shared" si="3"/>
        <v>57910</v>
      </c>
    </row>
    <row r="14" spans="1:10" x14ac:dyDescent="0.25">
      <c r="A14" s="13">
        <v>31</v>
      </c>
      <c r="B14" s="14">
        <f t="shared" si="5"/>
        <v>34750</v>
      </c>
      <c r="C14" s="15">
        <f t="shared" si="4"/>
        <v>58500</v>
      </c>
      <c r="D14" s="10">
        <f t="shared" si="0"/>
        <v>9625</v>
      </c>
      <c r="E14" s="15">
        <f t="shared" si="6"/>
        <v>48875</v>
      </c>
      <c r="F14" s="11">
        <f t="shared" si="1"/>
        <v>58500</v>
      </c>
      <c r="G14" s="10">
        <f t="shared" si="2"/>
        <v>4813</v>
      </c>
      <c r="H14" s="15">
        <f t="shared" si="7"/>
        <v>53688</v>
      </c>
      <c r="I14" s="12">
        <v>0</v>
      </c>
      <c r="J14" s="12">
        <f t="shared" si="3"/>
        <v>58500</v>
      </c>
    </row>
    <row r="15" spans="1:10" x14ac:dyDescent="0.25">
      <c r="A15" s="13">
        <v>32</v>
      </c>
      <c r="B15" s="14">
        <f>B14+350</f>
        <v>35100</v>
      </c>
      <c r="C15" s="15">
        <f>C14+630</f>
        <v>59130</v>
      </c>
      <c r="D15" s="10">
        <f t="shared" si="0"/>
        <v>9821</v>
      </c>
      <c r="E15" s="15">
        <v>49309</v>
      </c>
      <c r="F15" s="11">
        <f t="shared" si="1"/>
        <v>59130</v>
      </c>
      <c r="G15" s="10">
        <f t="shared" si="2"/>
        <v>4911</v>
      </c>
      <c r="H15" s="15">
        <f>H14+532</f>
        <v>54220</v>
      </c>
      <c r="I15" s="12">
        <v>0</v>
      </c>
      <c r="J15" s="12">
        <f t="shared" si="3"/>
        <v>59130</v>
      </c>
    </row>
    <row r="16" spans="1:10" x14ac:dyDescent="0.25">
      <c r="A16" s="13">
        <v>33</v>
      </c>
      <c r="B16" s="14">
        <f>B15+350</f>
        <v>35450</v>
      </c>
      <c r="C16" s="15">
        <f t="shared" ref="C16:C26" si="8">C15+630</f>
        <v>59760</v>
      </c>
      <c r="D16" s="10">
        <f t="shared" si="0"/>
        <v>10017</v>
      </c>
      <c r="E16" s="15">
        <f>E15+434</f>
        <v>49743</v>
      </c>
      <c r="F16" s="11">
        <f t="shared" si="1"/>
        <v>59760</v>
      </c>
      <c r="G16" s="10">
        <f t="shared" si="2"/>
        <v>5009</v>
      </c>
      <c r="H16" s="15">
        <f t="shared" ref="H16:H26" si="9">H15+532</f>
        <v>54752</v>
      </c>
      <c r="I16" s="12">
        <v>0</v>
      </c>
      <c r="J16" s="12">
        <f t="shared" si="3"/>
        <v>59760</v>
      </c>
    </row>
    <row r="17" spans="1:10" x14ac:dyDescent="0.25">
      <c r="A17" s="13">
        <v>34</v>
      </c>
      <c r="B17" s="14">
        <f t="shared" ref="B17:B26" si="10">B16+350</f>
        <v>35800</v>
      </c>
      <c r="C17" s="15">
        <f t="shared" si="8"/>
        <v>60390</v>
      </c>
      <c r="D17" s="10">
        <f t="shared" si="0"/>
        <v>10213</v>
      </c>
      <c r="E17" s="15">
        <f t="shared" ref="E17:E26" si="11">E16+434</f>
        <v>50177</v>
      </c>
      <c r="F17" s="11">
        <f t="shared" si="1"/>
        <v>60390</v>
      </c>
      <c r="G17" s="10">
        <f t="shared" si="2"/>
        <v>5107</v>
      </c>
      <c r="H17" s="15">
        <f t="shared" si="9"/>
        <v>55284</v>
      </c>
      <c r="I17" s="12">
        <v>0</v>
      </c>
      <c r="J17" s="12">
        <f t="shared" si="3"/>
        <v>60390</v>
      </c>
    </row>
    <row r="18" spans="1:10" x14ac:dyDescent="0.25">
      <c r="A18" s="13">
        <v>35</v>
      </c>
      <c r="B18" s="14">
        <f t="shared" si="10"/>
        <v>36150</v>
      </c>
      <c r="C18" s="15">
        <f t="shared" si="8"/>
        <v>61020</v>
      </c>
      <c r="D18" s="10">
        <f t="shared" si="0"/>
        <v>10409</v>
      </c>
      <c r="E18" s="15">
        <f t="shared" si="11"/>
        <v>50611</v>
      </c>
      <c r="F18" s="11">
        <f t="shared" si="1"/>
        <v>61020</v>
      </c>
      <c r="G18" s="10">
        <f t="shared" si="2"/>
        <v>5205</v>
      </c>
      <c r="H18" s="15">
        <f t="shared" si="9"/>
        <v>55816</v>
      </c>
      <c r="I18" s="12">
        <v>0</v>
      </c>
      <c r="J18" s="12">
        <f t="shared" si="3"/>
        <v>61020</v>
      </c>
    </row>
    <row r="19" spans="1:10" x14ac:dyDescent="0.25">
      <c r="A19" s="13">
        <v>36</v>
      </c>
      <c r="B19" s="14">
        <f t="shared" si="10"/>
        <v>36500</v>
      </c>
      <c r="C19" s="15">
        <f t="shared" si="8"/>
        <v>61650</v>
      </c>
      <c r="D19" s="10">
        <f t="shared" si="0"/>
        <v>10605</v>
      </c>
      <c r="E19" s="15">
        <f t="shared" si="11"/>
        <v>51045</v>
      </c>
      <c r="F19" s="11">
        <f t="shared" si="1"/>
        <v>61650</v>
      </c>
      <c r="G19" s="10">
        <f t="shared" si="2"/>
        <v>5303</v>
      </c>
      <c r="H19" s="15">
        <f t="shared" si="9"/>
        <v>56348</v>
      </c>
      <c r="I19" s="12">
        <v>0</v>
      </c>
      <c r="J19" s="12">
        <f t="shared" si="3"/>
        <v>61650</v>
      </c>
    </row>
    <row r="20" spans="1:10" x14ac:dyDescent="0.25">
      <c r="A20" s="13">
        <v>37</v>
      </c>
      <c r="B20" s="14">
        <f t="shared" si="10"/>
        <v>36850</v>
      </c>
      <c r="C20" s="15">
        <f t="shared" si="8"/>
        <v>62280</v>
      </c>
      <c r="D20" s="10">
        <f t="shared" si="0"/>
        <v>10801</v>
      </c>
      <c r="E20" s="15">
        <f t="shared" si="11"/>
        <v>51479</v>
      </c>
      <c r="F20" s="11">
        <f t="shared" si="1"/>
        <v>62280</v>
      </c>
      <c r="G20" s="10">
        <f t="shared" si="2"/>
        <v>5401</v>
      </c>
      <c r="H20" s="15">
        <f t="shared" si="9"/>
        <v>56880</v>
      </c>
      <c r="I20" s="12">
        <v>0</v>
      </c>
      <c r="J20" s="12">
        <f t="shared" si="3"/>
        <v>62280</v>
      </c>
    </row>
    <row r="21" spans="1:10" x14ac:dyDescent="0.25">
      <c r="A21" s="13">
        <v>38</v>
      </c>
      <c r="B21" s="14">
        <f t="shared" si="10"/>
        <v>37200</v>
      </c>
      <c r="C21" s="15">
        <f t="shared" si="8"/>
        <v>62910</v>
      </c>
      <c r="D21" s="10">
        <f t="shared" si="0"/>
        <v>10997</v>
      </c>
      <c r="E21" s="15">
        <f t="shared" si="11"/>
        <v>51913</v>
      </c>
      <c r="F21" s="11">
        <f t="shared" si="1"/>
        <v>62910</v>
      </c>
      <c r="G21" s="10">
        <f t="shared" si="2"/>
        <v>5499</v>
      </c>
      <c r="H21" s="15">
        <f t="shared" si="9"/>
        <v>57412</v>
      </c>
      <c r="I21" s="12">
        <v>0</v>
      </c>
      <c r="J21" s="12">
        <f t="shared" si="3"/>
        <v>62910</v>
      </c>
    </row>
    <row r="22" spans="1:10" x14ac:dyDescent="0.25">
      <c r="A22" s="13">
        <v>39</v>
      </c>
      <c r="B22" s="14">
        <f t="shared" si="10"/>
        <v>37550</v>
      </c>
      <c r="C22" s="15">
        <f t="shared" si="8"/>
        <v>63540</v>
      </c>
      <c r="D22" s="10">
        <f t="shared" si="0"/>
        <v>11193</v>
      </c>
      <c r="E22" s="15">
        <f t="shared" si="11"/>
        <v>52347</v>
      </c>
      <c r="F22" s="11">
        <f t="shared" si="1"/>
        <v>63540</v>
      </c>
      <c r="G22" s="10">
        <f t="shared" si="2"/>
        <v>5597</v>
      </c>
      <c r="H22" s="15">
        <f t="shared" si="9"/>
        <v>57944</v>
      </c>
      <c r="I22" s="12">
        <v>0</v>
      </c>
      <c r="J22" s="12">
        <f t="shared" si="3"/>
        <v>63540</v>
      </c>
    </row>
    <row r="23" spans="1:10" x14ac:dyDescent="0.25">
      <c r="A23" s="13">
        <v>40</v>
      </c>
      <c r="B23" s="14">
        <f t="shared" si="10"/>
        <v>37900</v>
      </c>
      <c r="C23" s="15">
        <f t="shared" si="8"/>
        <v>64170</v>
      </c>
      <c r="D23" s="10">
        <f t="shared" si="0"/>
        <v>11389</v>
      </c>
      <c r="E23" s="15">
        <f t="shared" si="11"/>
        <v>52781</v>
      </c>
      <c r="F23" s="11">
        <f t="shared" si="1"/>
        <v>64170</v>
      </c>
      <c r="G23" s="10">
        <f t="shared" si="2"/>
        <v>5695</v>
      </c>
      <c r="H23" s="15">
        <f t="shared" si="9"/>
        <v>58476</v>
      </c>
      <c r="I23" s="12">
        <v>0</v>
      </c>
      <c r="J23" s="12">
        <f t="shared" si="3"/>
        <v>64170</v>
      </c>
    </row>
    <row r="24" spans="1:10" x14ac:dyDescent="0.25">
      <c r="A24" s="13">
        <v>41</v>
      </c>
      <c r="B24" s="14">
        <f t="shared" si="10"/>
        <v>38250</v>
      </c>
      <c r="C24" s="15">
        <f t="shared" si="8"/>
        <v>64800</v>
      </c>
      <c r="D24" s="10">
        <f t="shared" si="0"/>
        <v>11585</v>
      </c>
      <c r="E24" s="15">
        <f t="shared" si="11"/>
        <v>53215</v>
      </c>
      <c r="F24" s="11">
        <f t="shared" si="1"/>
        <v>64800</v>
      </c>
      <c r="G24" s="10">
        <f t="shared" si="2"/>
        <v>5793</v>
      </c>
      <c r="H24" s="15">
        <f t="shared" si="9"/>
        <v>59008</v>
      </c>
      <c r="I24" s="12">
        <v>0</v>
      </c>
      <c r="J24" s="12">
        <f t="shared" si="3"/>
        <v>64800</v>
      </c>
    </row>
    <row r="25" spans="1:10" x14ac:dyDescent="0.25">
      <c r="A25" s="13">
        <v>42</v>
      </c>
      <c r="B25" s="14">
        <f t="shared" si="10"/>
        <v>38600</v>
      </c>
      <c r="C25" s="15">
        <f t="shared" si="8"/>
        <v>65430</v>
      </c>
      <c r="D25" s="10">
        <f t="shared" si="0"/>
        <v>11781</v>
      </c>
      <c r="E25" s="15">
        <f t="shared" si="11"/>
        <v>53649</v>
      </c>
      <c r="F25" s="11">
        <f t="shared" si="1"/>
        <v>65430</v>
      </c>
      <c r="G25" s="10">
        <f t="shared" si="2"/>
        <v>5891</v>
      </c>
      <c r="H25" s="15">
        <f t="shared" si="9"/>
        <v>59540</v>
      </c>
      <c r="I25" s="12">
        <v>0</v>
      </c>
      <c r="J25" s="12">
        <f t="shared" si="3"/>
        <v>65430</v>
      </c>
    </row>
    <row r="26" spans="1:10" ht="15.75" thickBot="1" x14ac:dyDescent="0.3">
      <c r="A26" s="16">
        <v>43</v>
      </c>
      <c r="B26" s="17">
        <f t="shared" si="10"/>
        <v>38950</v>
      </c>
      <c r="C26" s="18">
        <f t="shared" si="8"/>
        <v>66060</v>
      </c>
      <c r="D26" s="19">
        <f t="shared" si="0"/>
        <v>11977</v>
      </c>
      <c r="E26" s="18">
        <f t="shared" si="11"/>
        <v>54083</v>
      </c>
      <c r="F26" s="20">
        <f t="shared" si="1"/>
        <v>66060</v>
      </c>
      <c r="G26" s="19">
        <f t="shared" si="2"/>
        <v>5989</v>
      </c>
      <c r="H26" s="18">
        <f t="shared" si="9"/>
        <v>60072</v>
      </c>
      <c r="I26" s="21">
        <v>0</v>
      </c>
      <c r="J26" s="21">
        <f t="shared" si="3"/>
        <v>66060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J41"/>
  <sheetViews>
    <sheetView topLeftCell="A25" workbookViewId="0">
      <selection activeCell="C38" sqref="C38"/>
    </sheetView>
  </sheetViews>
  <sheetFormatPr defaultRowHeight="15" x14ac:dyDescent="0.25"/>
  <cols>
    <col min="2" max="2" width="15.28515625" customWidth="1"/>
    <col min="3" max="10" width="14.7109375" customWidth="1"/>
  </cols>
  <sheetData>
    <row r="1" spans="1:10" ht="23.25" x14ac:dyDescent="0.35">
      <c r="A1" s="47" t="s">
        <v>15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2">
        <v>1</v>
      </c>
      <c r="B5" s="23">
        <v>26290</v>
      </c>
      <c r="C5" s="24">
        <v>43280</v>
      </c>
      <c r="D5" s="23">
        <f t="shared" ref="D5:D23" si="0">C5-E5</f>
        <v>4893</v>
      </c>
      <c r="E5" s="24">
        <f>38387</f>
        <v>38387</v>
      </c>
      <c r="F5" s="25">
        <f t="shared" ref="F5:F23" si="1">C5</f>
        <v>43280</v>
      </c>
      <c r="G5" s="23">
        <f>F5-H5+1</f>
        <v>2447</v>
      </c>
      <c r="H5" s="24">
        <v>40834</v>
      </c>
      <c r="I5" s="26">
        <v>0</v>
      </c>
      <c r="J5" s="26">
        <f t="shared" ref="J5:J23" si="2">F5</f>
        <v>43280</v>
      </c>
    </row>
    <row r="6" spans="1:10" x14ac:dyDescent="0.25">
      <c r="A6" s="13">
        <v>2</v>
      </c>
      <c r="B6" s="14">
        <v>26560</v>
      </c>
      <c r="C6" s="15">
        <v>43770</v>
      </c>
      <c r="D6" s="10">
        <f t="shared" si="0"/>
        <v>5047</v>
      </c>
      <c r="E6" s="15">
        <v>38723</v>
      </c>
      <c r="F6" s="11">
        <f t="shared" si="1"/>
        <v>43770</v>
      </c>
      <c r="G6" s="10">
        <f>F6-H6+1</f>
        <v>2524</v>
      </c>
      <c r="H6" s="15">
        <v>41247</v>
      </c>
      <c r="I6" s="12">
        <v>0</v>
      </c>
      <c r="J6" s="12">
        <f t="shared" si="2"/>
        <v>43770</v>
      </c>
    </row>
    <row r="7" spans="1:10" x14ac:dyDescent="0.25">
      <c r="A7" s="13">
        <v>3</v>
      </c>
      <c r="B7" s="14">
        <f t="shared" ref="B7:B41" si="3">B6+270</f>
        <v>26830</v>
      </c>
      <c r="C7" s="15">
        <f t="shared" ref="C7:C41" si="4">C6+490</f>
        <v>44260</v>
      </c>
      <c r="D7" s="10">
        <f t="shared" si="0"/>
        <v>5201</v>
      </c>
      <c r="E7" s="15">
        <f t="shared" ref="E7:E41" si="5">E6+336</f>
        <v>39059</v>
      </c>
      <c r="F7" s="11">
        <f t="shared" si="1"/>
        <v>44260</v>
      </c>
      <c r="G7" s="10">
        <f t="shared" ref="G7:G23" si="6">F7-H7+1</f>
        <v>2601</v>
      </c>
      <c r="H7" s="15">
        <f t="shared" ref="H7:H41" si="7">H6+413</f>
        <v>41660</v>
      </c>
      <c r="I7" s="12">
        <v>0</v>
      </c>
      <c r="J7" s="12">
        <f t="shared" si="2"/>
        <v>44260</v>
      </c>
    </row>
    <row r="8" spans="1:10" x14ac:dyDescent="0.25">
      <c r="A8" s="13">
        <v>4</v>
      </c>
      <c r="B8" s="14">
        <f t="shared" si="3"/>
        <v>27100</v>
      </c>
      <c r="C8" s="15">
        <f t="shared" si="4"/>
        <v>44750</v>
      </c>
      <c r="D8" s="10">
        <f t="shared" si="0"/>
        <v>5355</v>
      </c>
      <c r="E8" s="15">
        <f t="shared" si="5"/>
        <v>39395</v>
      </c>
      <c r="F8" s="11">
        <f t="shared" si="1"/>
        <v>44750</v>
      </c>
      <c r="G8" s="10">
        <f t="shared" si="6"/>
        <v>2678</v>
      </c>
      <c r="H8" s="15">
        <f t="shared" si="7"/>
        <v>42073</v>
      </c>
      <c r="I8" s="12">
        <v>0</v>
      </c>
      <c r="J8" s="12">
        <f t="shared" si="2"/>
        <v>44750</v>
      </c>
    </row>
    <row r="9" spans="1:10" x14ac:dyDescent="0.25">
      <c r="A9" s="13">
        <v>5</v>
      </c>
      <c r="B9" s="14">
        <f t="shared" si="3"/>
        <v>27370</v>
      </c>
      <c r="C9" s="15">
        <f t="shared" si="4"/>
        <v>45240</v>
      </c>
      <c r="D9" s="10">
        <f t="shared" si="0"/>
        <v>5509</v>
      </c>
      <c r="E9" s="15">
        <f t="shared" si="5"/>
        <v>39731</v>
      </c>
      <c r="F9" s="11">
        <f t="shared" si="1"/>
        <v>45240</v>
      </c>
      <c r="G9" s="10">
        <f t="shared" si="6"/>
        <v>2755</v>
      </c>
      <c r="H9" s="15">
        <f t="shared" si="7"/>
        <v>42486</v>
      </c>
      <c r="I9" s="12">
        <v>0</v>
      </c>
      <c r="J9" s="12">
        <f t="shared" si="2"/>
        <v>45240</v>
      </c>
    </row>
    <row r="10" spans="1:10" x14ac:dyDescent="0.25">
      <c r="A10" s="13">
        <v>6</v>
      </c>
      <c r="B10" s="14">
        <f t="shared" si="3"/>
        <v>27640</v>
      </c>
      <c r="C10" s="15">
        <f t="shared" si="4"/>
        <v>45730</v>
      </c>
      <c r="D10" s="10">
        <f t="shared" si="0"/>
        <v>5663</v>
      </c>
      <c r="E10" s="15">
        <f t="shared" si="5"/>
        <v>40067</v>
      </c>
      <c r="F10" s="11">
        <f t="shared" si="1"/>
        <v>45730</v>
      </c>
      <c r="G10" s="10">
        <f t="shared" si="6"/>
        <v>2832</v>
      </c>
      <c r="H10" s="15">
        <f t="shared" si="7"/>
        <v>42899</v>
      </c>
      <c r="I10" s="12">
        <v>0</v>
      </c>
      <c r="J10" s="12">
        <f t="shared" si="2"/>
        <v>45730</v>
      </c>
    </row>
    <row r="11" spans="1:10" x14ac:dyDescent="0.25">
      <c r="A11" s="13">
        <v>7</v>
      </c>
      <c r="B11" s="14">
        <f t="shared" si="3"/>
        <v>27910</v>
      </c>
      <c r="C11" s="15">
        <f t="shared" si="4"/>
        <v>46220</v>
      </c>
      <c r="D11" s="10">
        <f t="shared" si="0"/>
        <v>5817</v>
      </c>
      <c r="E11" s="15">
        <f t="shared" si="5"/>
        <v>40403</v>
      </c>
      <c r="F11" s="11">
        <f t="shared" si="1"/>
        <v>46220</v>
      </c>
      <c r="G11" s="10">
        <f t="shared" si="6"/>
        <v>2909</v>
      </c>
      <c r="H11" s="15">
        <f t="shared" si="7"/>
        <v>43312</v>
      </c>
      <c r="I11" s="12">
        <v>0</v>
      </c>
      <c r="J11" s="12">
        <f t="shared" si="2"/>
        <v>46220</v>
      </c>
    </row>
    <row r="12" spans="1:10" x14ac:dyDescent="0.25">
      <c r="A12" s="13">
        <v>8</v>
      </c>
      <c r="B12" s="14">
        <f t="shared" si="3"/>
        <v>28180</v>
      </c>
      <c r="C12" s="15">
        <f t="shared" si="4"/>
        <v>46710</v>
      </c>
      <c r="D12" s="10">
        <f t="shared" si="0"/>
        <v>5971</v>
      </c>
      <c r="E12" s="15">
        <f t="shared" si="5"/>
        <v>40739</v>
      </c>
      <c r="F12" s="11">
        <f t="shared" si="1"/>
        <v>46710</v>
      </c>
      <c r="G12" s="10">
        <f t="shared" si="6"/>
        <v>2986</v>
      </c>
      <c r="H12" s="15">
        <f t="shared" si="7"/>
        <v>43725</v>
      </c>
      <c r="I12" s="12">
        <v>0</v>
      </c>
      <c r="J12" s="12">
        <f t="shared" si="2"/>
        <v>46710</v>
      </c>
    </row>
    <row r="13" spans="1:10" x14ac:dyDescent="0.25">
      <c r="A13" s="13">
        <v>9</v>
      </c>
      <c r="B13" s="14">
        <f t="shared" si="3"/>
        <v>28450</v>
      </c>
      <c r="C13" s="15">
        <f t="shared" si="4"/>
        <v>47200</v>
      </c>
      <c r="D13" s="10">
        <f t="shared" si="0"/>
        <v>6125</v>
      </c>
      <c r="E13" s="15">
        <f t="shared" si="5"/>
        <v>41075</v>
      </c>
      <c r="F13" s="11">
        <f t="shared" si="1"/>
        <v>47200</v>
      </c>
      <c r="G13" s="10">
        <f t="shared" si="6"/>
        <v>3063</v>
      </c>
      <c r="H13" s="15">
        <f t="shared" si="7"/>
        <v>44138</v>
      </c>
      <c r="I13" s="12">
        <v>0</v>
      </c>
      <c r="J13" s="12">
        <f t="shared" si="2"/>
        <v>47200</v>
      </c>
    </row>
    <row r="14" spans="1:10" x14ac:dyDescent="0.25">
      <c r="A14" s="13">
        <v>10</v>
      </c>
      <c r="B14" s="14">
        <f t="shared" si="3"/>
        <v>28720</v>
      </c>
      <c r="C14" s="15">
        <f t="shared" si="4"/>
        <v>47690</v>
      </c>
      <c r="D14" s="10">
        <f t="shared" si="0"/>
        <v>6279</v>
      </c>
      <c r="E14" s="15">
        <f t="shared" si="5"/>
        <v>41411</v>
      </c>
      <c r="F14" s="11">
        <f t="shared" si="1"/>
        <v>47690</v>
      </c>
      <c r="G14" s="10">
        <f t="shared" si="6"/>
        <v>3140</v>
      </c>
      <c r="H14" s="15">
        <f t="shared" si="7"/>
        <v>44551</v>
      </c>
      <c r="I14" s="12">
        <v>0</v>
      </c>
      <c r="J14" s="12">
        <f t="shared" si="2"/>
        <v>47690</v>
      </c>
    </row>
    <row r="15" spans="1:10" x14ac:dyDescent="0.25">
      <c r="A15" s="13">
        <v>11</v>
      </c>
      <c r="B15" s="14">
        <f t="shared" si="3"/>
        <v>28990</v>
      </c>
      <c r="C15" s="15">
        <f t="shared" si="4"/>
        <v>48180</v>
      </c>
      <c r="D15" s="10">
        <f t="shared" si="0"/>
        <v>6433</v>
      </c>
      <c r="E15" s="15">
        <f t="shared" si="5"/>
        <v>41747</v>
      </c>
      <c r="F15" s="11">
        <f t="shared" si="1"/>
        <v>48180</v>
      </c>
      <c r="G15" s="10">
        <f t="shared" si="6"/>
        <v>3217</v>
      </c>
      <c r="H15" s="15">
        <f t="shared" si="7"/>
        <v>44964</v>
      </c>
      <c r="I15" s="12">
        <v>0</v>
      </c>
      <c r="J15" s="12">
        <f t="shared" si="2"/>
        <v>48180</v>
      </c>
    </row>
    <row r="16" spans="1:10" x14ac:dyDescent="0.25">
      <c r="A16" s="13">
        <v>12</v>
      </c>
      <c r="B16" s="14">
        <f t="shared" si="3"/>
        <v>29260</v>
      </c>
      <c r="C16" s="15">
        <f t="shared" si="4"/>
        <v>48670</v>
      </c>
      <c r="D16" s="10">
        <f t="shared" si="0"/>
        <v>6587</v>
      </c>
      <c r="E16" s="15">
        <f t="shared" si="5"/>
        <v>42083</v>
      </c>
      <c r="F16" s="11">
        <f t="shared" si="1"/>
        <v>48670</v>
      </c>
      <c r="G16" s="10">
        <f t="shared" si="6"/>
        <v>3294</v>
      </c>
      <c r="H16" s="15">
        <f t="shared" si="7"/>
        <v>45377</v>
      </c>
      <c r="I16" s="12">
        <v>0</v>
      </c>
      <c r="J16" s="12">
        <f t="shared" si="2"/>
        <v>48670</v>
      </c>
    </row>
    <row r="17" spans="1:10" x14ac:dyDescent="0.25">
      <c r="A17" s="13">
        <v>13</v>
      </c>
      <c r="B17" s="14">
        <f t="shared" si="3"/>
        <v>29530</v>
      </c>
      <c r="C17" s="15">
        <f t="shared" si="4"/>
        <v>49160</v>
      </c>
      <c r="D17" s="10">
        <f t="shared" si="0"/>
        <v>6741</v>
      </c>
      <c r="E17" s="15">
        <f t="shared" si="5"/>
        <v>42419</v>
      </c>
      <c r="F17" s="11">
        <f t="shared" si="1"/>
        <v>49160</v>
      </c>
      <c r="G17" s="10">
        <f t="shared" si="6"/>
        <v>3371</v>
      </c>
      <c r="H17" s="15">
        <f t="shared" si="7"/>
        <v>45790</v>
      </c>
      <c r="I17" s="12">
        <v>0</v>
      </c>
      <c r="J17" s="12">
        <f t="shared" si="2"/>
        <v>49160</v>
      </c>
    </row>
    <row r="18" spans="1:10" x14ac:dyDescent="0.25">
      <c r="A18" s="13">
        <v>14</v>
      </c>
      <c r="B18" s="14">
        <f t="shared" si="3"/>
        <v>29800</v>
      </c>
      <c r="C18" s="15">
        <f t="shared" si="4"/>
        <v>49650</v>
      </c>
      <c r="D18" s="10">
        <f t="shared" si="0"/>
        <v>6895</v>
      </c>
      <c r="E18" s="15">
        <f t="shared" si="5"/>
        <v>42755</v>
      </c>
      <c r="F18" s="11">
        <f t="shared" si="1"/>
        <v>49650</v>
      </c>
      <c r="G18" s="10">
        <f t="shared" si="6"/>
        <v>3448</v>
      </c>
      <c r="H18" s="15">
        <f t="shared" si="7"/>
        <v>46203</v>
      </c>
      <c r="I18" s="12">
        <v>0</v>
      </c>
      <c r="J18" s="12">
        <f t="shared" si="2"/>
        <v>49650</v>
      </c>
    </row>
    <row r="19" spans="1:10" x14ac:dyDescent="0.25">
      <c r="A19" s="13">
        <v>15</v>
      </c>
      <c r="B19" s="14">
        <f t="shared" si="3"/>
        <v>30070</v>
      </c>
      <c r="C19" s="15">
        <f t="shared" si="4"/>
        <v>50140</v>
      </c>
      <c r="D19" s="10">
        <f t="shared" si="0"/>
        <v>7049</v>
      </c>
      <c r="E19" s="15">
        <f t="shared" si="5"/>
        <v>43091</v>
      </c>
      <c r="F19" s="11">
        <f t="shared" si="1"/>
        <v>50140</v>
      </c>
      <c r="G19" s="10">
        <f t="shared" si="6"/>
        <v>3525</v>
      </c>
      <c r="H19" s="15">
        <f t="shared" si="7"/>
        <v>46616</v>
      </c>
      <c r="I19" s="12">
        <v>0</v>
      </c>
      <c r="J19" s="12">
        <f t="shared" si="2"/>
        <v>50140</v>
      </c>
    </row>
    <row r="20" spans="1:10" x14ac:dyDescent="0.25">
      <c r="A20" s="13">
        <v>16</v>
      </c>
      <c r="B20" s="14">
        <f t="shared" si="3"/>
        <v>30340</v>
      </c>
      <c r="C20" s="15">
        <f t="shared" si="4"/>
        <v>50630</v>
      </c>
      <c r="D20" s="10">
        <f t="shared" si="0"/>
        <v>7203</v>
      </c>
      <c r="E20" s="15">
        <f t="shared" si="5"/>
        <v>43427</v>
      </c>
      <c r="F20" s="11">
        <f t="shared" si="1"/>
        <v>50630</v>
      </c>
      <c r="G20" s="10">
        <f t="shared" si="6"/>
        <v>3602</v>
      </c>
      <c r="H20" s="15">
        <f t="shared" si="7"/>
        <v>47029</v>
      </c>
      <c r="I20" s="12">
        <v>0</v>
      </c>
      <c r="J20" s="12">
        <f t="shared" si="2"/>
        <v>50630</v>
      </c>
    </row>
    <row r="21" spans="1:10" x14ac:dyDescent="0.25">
      <c r="A21" s="13">
        <v>17</v>
      </c>
      <c r="B21" s="14">
        <f t="shared" si="3"/>
        <v>30610</v>
      </c>
      <c r="C21" s="15">
        <f t="shared" si="4"/>
        <v>51120</v>
      </c>
      <c r="D21" s="10">
        <f t="shared" si="0"/>
        <v>7357</v>
      </c>
      <c r="E21" s="15">
        <f t="shared" si="5"/>
        <v>43763</v>
      </c>
      <c r="F21" s="11">
        <f t="shared" si="1"/>
        <v>51120</v>
      </c>
      <c r="G21" s="10">
        <f t="shared" si="6"/>
        <v>3679</v>
      </c>
      <c r="H21" s="15">
        <f t="shared" si="7"/>
        <v>47442</v>
      </c>
      <c r="I21" s="12">
        <v>0</v>
      </c>
      <c r="J21" s="12">
        <f t="shared" si="2"/>
        <v>51120</v>
      </c>
    </row>
    <row r="22" spans="1:10" x14ac:dyDescent="0.25">
      <c r="A22" s="13">
        <v>18</v>
      </c>
      <c r="B22" s="14">
        <f t="shared" si="3"/>
        <v>30880</v>
      </c>
      <c r="C22" s="15">
        <f t="shared" si="4"/>
        <v>51610</v>
      </c>
      <c r="D22" s="10">
        <f t="shared" si="0"/>
        <v>7511</v>
      </c>
      <c r="E22" s="15">
        <f t="shared" si="5"/>
        <v>44099</v>
      </c>
      <c r="F22" s="11">
        <f t="shared" si="1"/>
        <v>51610</v>
      </c>
      <c r="G22" s="10">
        <f t="shared" si="6"/>
        <v>3756</v>
      </c>
      <c r="H22" s="15">
        <f t="shared" si="7"/>
        <v>47855</v>
      </c>
      <c r="I22" s="12">
        <v>0</v>
      </c>
      <c r="J22" s="12">
        <f t="shared" si="2"/>
        <v>51610</v>
      </c>
    </row>
    <row r="23" spans="1:10" ht="15.75" thickBot="1" x14ac:dyDescent="0.3">
      <c r="A23" s="16">
        <v>19</v>
      </c>
      <c r="B23" s="17">
        <f t="shared" si="3"/>
        <v>31150</v>
      </c>
      <c r="C23" s="18">
        <f t="shared" si="4"/>
        <v>52100</v>
      </c>
      <c r="D23" s="19">
        <f t="shared" si="0"/>
        <v>7665</v>
      </c>
      <c r="E23" s="18">
        <f t="shared" si="5"/>
        <v>44435</v>
      </c>
      <c r="F23" s="20">
        <f t="shared" si="1"/>
        <v>52100</v>
      </c>
      <c r="G23" s="10">
        <f t="shared" si="6"/>
        <v>3833</v>
      </c>
      <c r="H23" s="18">
        <f t="shared" si="7"/>
        <v>48268</v>
      </c>
      <c r="I23" s="21">
        <v>0</v>
      </c>
      <c r="J23" s="21">
        <f t="shared" si="2"/>
        <v>52100</v>
      </c>
    </row>
    <row r="24" spans="1:10" ht="15.75" thickBot="1" x14ac:dyDescent="0.3">
      <c r="A24" s="62">
        <v>19</v>
      </c>
      <c r="B24" s="63">
        <f t="shared" si="3"/>
        <v>31420</v>
      </c>
      <c r="C24" s="64">
        <f t="shared" si="4"/>
        <v>52590</v>
      </c>
      <c r="D24" s="65">
        <f t="shared" ref="D24:D28" si="8">C24-E24</f>
        <v>7819</v>
      </c>
      <c r="E24" s="64">
        <f t="shared" si="5"/>
        <v>44771</v>
      </c>
      <c r="F24" s="66">
        <f t="shared" ref="F24:F28" si="9">C24</f>
        <v>52590</v>
      </c>
      <c r="G24" s="59">
        <f t="shared" ref="G24:G28" si="10">F24-H24+1</f>
        <v>3910</v>
      </c>
      <c r="H24" s="64">
        <f t="shared" si="7"/>
        <v>48681</v>
      </c>
      <c r="I24" s="67">
        <v>0</v>
      </c>
      <c r="J24" s="67">
        <f t="shared" ref="J24:J28" si="11">F24</f>
        <v>52590</v>
      </c>
    </row>
    <row r="25" spans="1:10" ht="15.75" thickBot="1" x14ac:dyDescent="0.3">
      <c r="A25" s="16">
        <v>19</v>
      </c>
      <c r="B25" s="17">
        <f t="shared" si="3"/>
        <v>31690</v>
      </c>
      <c r="C25" s="18">
        <f t="shared" si="4"/>
        <v>53080</v>
      </c>
      <c r="D25" s="19">
        <f t="shared" si="8"/>
        <v>7973</v>
      </c>
      <c r="E25" s="18">
        <f t="shared" si="5"/>
        <v>45107</v>
      </c>
      <c r="F25" s="20">
        <f t="shared" si="9"/>
        <v>53080</v>
      </c>
      <c r="G25" s="10">
        <f t="shared" si="10"/>
        <v>3987</v>
      </c>
      <c r="H25" s="18">
        <f t="shared" si="7"/>
        <v>49094</v>
      </c>
      <c r="I25" s="21">
        <v>0</v>
      </c>
      <c r="J25" s="21">
        <f t="shared" si="11"/>
        <v>53080</v>
      </c>
    </row>
    <row r="26" spans="1:10" ht="15.75" thickBot="1" x14ac:dyDescent="0.3">
      <c r="A26" s="16">
        <v>19</v>
      </c>
      <c r="B26" s="17">
        <f t="shared" si="3"/>
        <v>31960</v>
      </c>
      <c r="C26" s="18">
        <f t="shared" si="4"/>
        <v>53570</v>
      </c>
      <c r="D26" s="19">
        <f t="shared" si="8"/>
        <v>8127</v>
      </c>
      <c r="E26" s="18">
        <f t="shared" si="5"/>
        <v>45443</v>
      </c>
      <c r="F26" s="20">
        <f t="shared" si="9"/>
        <v>53570</v>
      </c>
      <c r="G26" s="10">
        <f t="shared" si="10"/>
        <v>4064</v>
      </c>
      <c r="H26" s="18">
        <f t="shared" si="7"/>
        <v>49507</v>
      </c>
      <c r="I26" s="21">
        <v>0</v>
      </c>
      <c r="J26" s="21">
        <f t="shared" si="11"/>
        <v>53570</v>
      </c>
    </row>
    <row r="27" spans="1:10" ht="15.75" thickBot="1" x14ac:dyDescent="0.3">
      <c r="A27" s="16">
        <v>19</v>
      </c>
      <c r="B27" s="17">
        <f t="shared" si="3"/>
        <v>32230</v>
      </c>
      <c r="C27" s="18">
        <f t="shared" si="4"/>
        <v>54060</v>
      </c>
      <c r="D27" s="19">
        <f t="shared" si="8"/>
        <v>8281</v>
      </c>
      <c r="E27" s="18">
        <f t="shared" si="5"/>
        <v>45779</v>
      </c>
      <c r="F27" s="20">
        <f t="shared" si="9"/>
        <v>54060</v>
      </c>
      <c r="G27" s="10">
        <f t="shared" si="10"/>
        <v>4141</v>
      </c>
      <c r="H27" s="18">
        <f t="shared" si="7"/>
        <v>49920</v>
      </c>
      <c r="I27" s="21">
        <v>0</v>
      </c>
      <c r="J27" s="21">
        <f t="shared" si="11"/>
        <v>54060</v>
      </c>
    </row>
    <row r="28" spans="1:10" ht="15.75" thickBot="1" x14ac:dyDescent="0.3">
      <c r="A28" s="16">
        <v>19</v>
      </c>
      <c r="B28" s="17">
        <f t="shared" si="3"/>
        <v>32500</v>
      </c>
      <c r="C28" s="18">
        <f t="shared" si="4"/>
        <v>54550</v>
      </c>
      <c r="D28" s="19">
        <f t="shared" si="8"/>
        <v>8435</v>
      </c>
      <c r="E28" s="18">
        <f t="shared" si="5"/>
        <v>46115</v>
      </c>
      <c r="F28" s="20">
        <f t="shared" si="9"/>
        <v>54550</v>
      </c>
      <c r="G28" s="10">
        <f t="shared" si="10"/>
        <v>4218</v>
      </c>
      <c r="H28" s="18">
        <f t="shared" si="7"/>
        <v>50333</v>
      </c>
      <c r="I28" s="21">
        <v>0</v>
      </c>
      <c r="J28" s="21">
        <f t="shared" si="11"/>
        <v>54550</v>
      </c>
    </row>
    <row r="29" spans="1:10" ht="15.75" thickBot="1" x14ac:dyDescent="0.3">
      <c r="A29" s="16">
        <v>19</v>
      </c>
      <c r="B29" s="17">
        <f t="shared" si="3"/>
        <v>32770</v>
      </c>
      <c r="C29" s="18">
        <f t="shared" si="4"/>
        <v>55040</v>
      </c>
      <c r="D29" s="19">
        <f t="shared" ref="D29:D38" si="12">C29-E29</f>
        <v>8589</v>
      </c>
      <c r="E29" s="18">
        <f t="shared" si="5"/>
        <v>46451</v>
      </c>
      <c r="F29" s="20">
        <f t="shared" ref="F29:F38" si="13">C29</f>
        <v>55040</v>
      </c>
      <c r="G29" s="10">
        <f t="shared" ref="G29:G38" si="14">F29-H29+1</f>
        <v>4295</v>
      </c>
      <c r="H29" s="18">
        <f t="shared" si="7"/>
        <v>50746</v>
      </c>
      <c r="I29" s="21">
        <v>0</v>
      </c>
      <c r="J29" s="21">
        <f t="shared" ref="J29:J38" si="15">F29</f>
        <v>55040</v>
      </c>
    </row>
    <row r="30" spans="1:10" ht="15.75" thickBot="1" x14ac:dyDescent="0.3">
      <c r="A30" s="16">
        <v>19</v>
      </c>
      <c r="B30" s="17">
        <f t="shared" si="3"/>
        <v>33040</v>
      </c>
      <c r="C30" s="18">
        <f t="shared" si="4"/>
        <v>55530</v>
      </c>
      <c r="D30" s="19">
        <f t="shared" si="12"/>
        <v>8743</v>
      </c>
      <c r="E30" s="18">
        <f t="shared" si="5"/>
        <v>46787</v>
      </c>
      <c r="F30" s="20">
        <f t="shared" si="13"/>
        <v>55530</v>
      </c>
      <c r="G30" s="10">
        <f t="shared" si="14"/>
        <v>4372</v>
      </c>
      <c r="H30" s="18">
        <f t="shared" si="7"/>
        <v>51159</v>
      </c>
      <c r="I30" s="21">
        <v>0</v>
      </c>
      <c r="J30" s="21">
        <f t="shared" si="15"/>
        <v>55530</v>
      </c>
    </row>
    <row r="31" spans="1:10" ht="15.75" thickBot="1" x14ac:dyDescent="0.3">
      <c r="A31" s="16">
        <v>19</v>
      </c>
      <c r="B31" s="17">
        <f t="shared" si="3"/>
        <v>33310</v>
      </c>
      <c r="C31" s="18">
        <f t="shared" si="4"/>
        <v>56020</v>
      </c>
      <c r="D31" s="19">
        <f t="shared" si="12"/>
        <v>8897</v>
      </c>
      <c r="E31" s="18">
        <f t="shared" si="5"/>
        <v>47123</v>
      </c>
      <c r="F31" s="20">
        <f t="shared" si="13"/>
        <v>56020</v>
      </c>
      <c r="G31" s="10">
        <f t="shared" si="14"/>
        <v>4449</v>
      </c>
      <c r="H31" s="18">
        <f t="shared" si="7"/>
        <v>51572</v>
      </c>
      <c r="I31" s="21">
        <v>0</v>
      </c>
      <c r="J31" s="21">
        <f t="shared" si="15"/>
        <v>56020</v>
      </c>
    </row>
    <row r="32" spans="1:10" ht="15.75" thickBot="1" x14ac:dyDescent="0.3">
      <c r="A32" s="16">
        <v>19</v>
      </c>
      <c r="B32" s="17">
        <f t="shared" si="3"/>
        <v>33580</v>
      </c>
      <c r="C32" s="18">
        <f t="shared" si="4"/>
        <v>56510</v>
      </c>
      <c r="D32" s="19">
        <f t="shared" si="12"/>
        <v>9051</v>
      </c>
      <c r="E32" s="18">
        <f t="shared" si="5"/>
        <v>47459</v>
      </c>
      <c r="F32" s="20">
        <f t="shared" si="13"/>
        <v>56510</v>
      </c>
      <c r="G32" s="10">
        <f t="shared" si="14"/>
        <v>4526</v>
      </c>
      <c r="H32" s="18">
        <f t="shared" si="7"/>
        <v>51985</v>
      </c>
      <c r="I32" s="21">
        <v>0</v>
      </c>
      <c r="J32" s="21">
        <f t="shared" si="15"/>
        <v>56510</v>
      </c>
    </row>
    <row r="33" spans="1:10" ht="15.75" thickBot="1" x14ac:dyDescent="0.3">
      <c r="A33" s="16">
        <v>19</v>
      </c>
      <c r="B33" s="17">
        <f t="shared" si="3"/>
        <v>33850</v>
      </c>
      <c r="C33" s="18">
        <f t="shared" si="4"/>
        <v>57000</v>
      </c>
      <c r="D33" s="19">
        <f t="shared" si="12"/>
        <v>9205</v>
      </c>
      <c r="E33" s="18">
        <f t="shared" si="5"/>
        <v>47795</v>
      </c>
      <c r="F33" s="20">
        <f t="shared" si="13"/>
        <v>57000</v>
      </c>
      <c r="G33" s="10">
        <f t="shared" si="14"/>
        <v>4603</v>
      </c>
      <c r="H33" s="18">
        <f t="shared" si="7"/>
        <v>52398</v>
      </c>
      <c r="I33" s="21">
        <v>0</v>
      </c>
      <c r="J33" s="21">
        <f t="shared" si="15"/>
        <v>57000</v>
      </c>
    </row>
    <row r="34" spans="1:10" ht="15.75" thickBot="1" x14ac:dyDescent="0.3">
      <c r="A34" s="16">
        <v>19</v>
      </c>
      <c r="B34" s="17">
        <f t="shared" si="3"/>
        <v>34120</v>
      </c>
      <c r="C34" s="18">
        <f t="shared" si="4"/>
        <v>57490</v>
      </c>
      <c r="D34" s="19">
        <f t="shared" si="12"/>
        <v>9359</v>
      </c>
      <c r="E34" s="18">
        <f t="shared" si="5"/>
        <v>48131</v>
      </c>
      <c r="F34" s="20">
        <f t="shared" si="13"/>
        <v>57490</v>
      </c>
      <c r="G34" s="10">
        <f t="shared" si="14"/>
        <v>4680</v>
      </c>
      <c r="H34" s="18">
        <f t="shared" si="7"/>
        <v>52811</v>
      </c>
      <c r="I34" s="21">
        <v>0</v>
      </c>
      <c r="J34" s="21">
        <f t="shared" si="15"/>
        <v>57490</v>
      </c>
    </row>
    <row r="35" spans="1:10" ht="15.75" thickBot="1" x14ac:dyDescent="0.3">
      <c r="A35" s="16">
        <v>19</v>
      </c>
      <c r="B35" s="17">
        <f t="shared" si="3"/>
        <v>34390</v>
      </c>
      <c r="C35" s="18">
        <f t="shared" si="4"/>
        <v>57980</v>
      </c>
      <c r="D35" s="19">
        <f t="shared" si="12"/>
        <v>9513</v>
      </c>
      <c r="E35" s="18">
        <f t="shared" si="5"/>
        <v>48467</v>
      </c>
      <c r="F35" s="20">
        <f t="shared" si="13"/>
        <v>57980</v>
      </c>
      <c r="G35" s="10">
        <f t="shared" si="14"/>
        <v>4757</v>
      </c>
      <c r="H35" s="18">
        <f t="shared" si="7"/>
        <v>53224</v>
      </c>
      <c r="I35" s="21">
        <v>0</v>
      </c>
      <c r="J35" s="21">
        <f t="shared" si="15"/>
        <v>57980</v>
      </c>
    </row>
    <row r="36" spans="1:10" ht="15.75" thickBot="1" x14ac:dyDescent="0.3">
      <c r="A36" s="16">
        <v>19</v>
      </c>
      <c r="B36" s="17">
        <f t="shared" si="3"/>
        <v>34660</v>
      </c>
      <c r="C36" s="18">
        <f t="shared" si="4"/>
        <v>58470</v>
      </c>
      <c r="D36" s="19">
        <f t="shared" si="12"/>
        <v>9667</v>
      </c>
      <c r="E36" s="18">
        <f t="shared" si="5"/>
        <v>48803</v>
      </c>
      <c r="F36" s="20">
        <f t="shared" si="13"/>
        <v>58470</v>
      </c>
      <c r="G36" s="10">
        <f t="shared" si="14"/>
        <v>4834</v>
      </c>
      <c r="H36" s="18">
        <f t="shared" si="7"/>
        <v>53637</v>
      </c>
      <c r="I36" s="21">
        <v>0</v>
      </c>
      <c r="J36" s="21">
        <f t="shared" si="15"/>
        <v>58470</v>
      </c>
    </row>
    <row r="37" spans="1:10" ht="15.75" thickBot="1" x14ac:dyDescent="0.3">
      <c r="A37" s="16">
        <v>19</v>
      </c>
      <c r="B37" s="17">
        <f t="shared" si="3"/>
        <v>34930</v>
      </c>
      <c r="C37" s="18">
        <f t="shared" si="4"/>
        <v>58960</v>
      </c>
      <c r="D37" s="19">
        <f t="shared" si="12"/>
        <v>9821</v>
      </c>
      <c r="E37" s="18">
        <f t="shared" si="5"/>
        <v>49139</v>
      </c>
      <c r="F37" s="20">
        <f t="shared" si="13"/>
        <v>58960</v>
      </c>
      <c r="G37" s="10">
        <f t="shared" si="14"/>
        <v>4911</v>
      </c>
      <c r="H37" s="18">
        <f t="shared" si="7"/>
        <v>54050</v>
      </c>
      <c r="I37" s="21">
        <v>0</v>
      </c>
      <c r="J37" s="21">
        <f t="shared" si="15"/>
        <v>58960</v>
      </c>
    </row>
    <row r="38" spans="1:10" ht="15.75" thickBot="1" x14ac:dyDescent="0.3">
      <c r="A38" s="16">
        <v>19</v>
      </c>
      <c r="B38" s="17">
        <f t="shared" si="3"/>
        <v>35200</v>
      </c>
      <c r="C38" s="18">
        <f t="shared" si="4"/>
        <v>59450</v>
      </c>
      <c r="D38" s="19">
        <f t="shared" si="12"/>
        <v>9975</v>
      </c>
      <c r="E38" s="18">
        <f t="shared" si="5"/>
        <v>49475</v>
      </c>
      <c r="F38" s="20">
        <f t="shared" si="13"/>
        <v>59450</v>
      </c>
      <c r="G38" s="10">
        <f t="shared" si="14"/>
        <v>4988</v>
      </c>
      <c r="H38" s="18">
        <f t="shared" si="7"/>
        <v>54463</v>
      </c>
      <c r="I38" s="21">
        <v>0</v>
      </c>
      <c r="J38" s="21">
        <f t="shared" si="15"/>
        <v>59450</v>
      </c>
    </row>
    <row r="39" spans="1:10" ht="15.75" thickBot="1" x14ac:dyDescent="0.3">
      <c r="A39" s="16">
        <v>19</v>
      </c>
      <c r="B39" s="17">
        <f t="shared" si="3"/>
        <v>35470</v>
      </c>
      <c r="C39" s="18">
        <f t="shared" si="4"/>
        <v>59940</v>
      </c>
      <c r="D39" s="19">
        <f t="shared" ref="D39:D41" si="16">C39-E39</f>
        <v>10129</v>
      </c>
      <c r="E39" s="18">
        <f t="shared" si="5"/>
        <v>49811</v>
      </c>
      <c r="F39" s="20">
        <f t="shared" ref="F39:F41" si="17">C39</f>
        <v>59940</v>
      </c>
      <c r="G39" s="10">
        <f t="shared" ref="G39:G41" si="18">F39-H39+1</f>
        <v>5065</v>
      </c>
      <c r="H39" s="18">
        <f t="shared" si="7"/>
        <v>54876</v>
      </c>
      <c r="I39" s="21">
        <v>0</v>
      </c>
      <c r="J39" s="21">
        <f t="shared" ref="J39:J41" si="19">F39</f>
        <v>59940</v>
      </c>
    </row>
    <row r="40" spans="1:10" ht="15.75" thickBot="1" x14ac:dyDescent="0.3">
      <c r="A40" s="16">
        <v>19</v>
      </c>
      <c r="B40" s="17">
        <f t="shared" si="3"/>
        <v>35740</v>
      </c>
      <c r="C40" s="18">
        <f t="shared" si="4"/>
        <v>60430</v>
      </c>
      <c r="D40" s="19">
        <f t="shared" si="16"/>
        <v>10283</v>
      </c>
      <c r="E40" s="18">
        <f t="shared" si="5"/>
        <v>50147</v>
      </c>
      <c r="F40" s="20">
        <f t="shared" si="17"/>
        <v>60430</v>
      </c>
      <c r="G40" s="10">
        <f t="shared" si="18"/>
        <v>5142</v>
      </c>
      <c r="H40" s="18">
        <f t="shared" si="7"/>
        <v>55289</v>
      </c>
      <c r="I40" s="21">
        <v>0</v>
      </c>
      <c r="J40" s="21">
        <f t="shared" si="19"/>
        <v>60430</v>
      </c>
    </row>
    <row r="41" spans="1:10" ht="15.75" thickBot="1" x14ac:dyDescent="0.3">
      <c r="A41" s="16">
        <v>19</v>
      </c>
      <c r="B41" s="17">
        <f t="shared" si="3"/>
        <v>36010</v>
      </c>
      <c r="C41" s="18">
        <f t="shared" si="4"/>
        <v>60920</v>
      </c>
      <c r="D41" s="19">
        <f t="shared" si="16"/>
        <v>10437</v>
      </c>
      <c r="E41" s="18">
        <f t="shared" si="5"/>
        <v>50483</v>
      </c>
      <c r="F41" s="20">
        <f t="shared" si="17"/>
        <v>60920</v>
      </c>
      <c r="G41" s="10">
        <f t="shared" si="18"/>
        <v>5219</v>
      </c>
      <c r="H41" s="18">
        <f t="shared" si="7"/>
        <v>55702</v>
      </c>
      <c r="I41" s="21">
        <v>0</v>
      </c>
      <c r="J41" s="21">
        <f t="shared" si="19"/>
        <v>60920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E29"/>
  <sheetViews>
    <sheetView tabSelected="1" workbookViewId="0">
      <selection activeCell="E26" sqref="E26"/>
    </sheetView>
  </sheetViews>
  <sheetFormatPr defaultRowHeight="15" x14ac:dyDescent="0.25"/>
  <cols>
    <col min="2" max="10" width="13.42578125" customWidth="1"/>
  </cols>
  <sheetData>
    <row r="1" spans="1:31" ht="23.25" x14ac:dyDescent="0.35">
      <c r="A1" s="47" t="s">
        <v>16</v>
      </c>
      <c r="B1" s="47"/>
      <c r="C1" s="47"/>
      <c r="D1" s="47"/>
      <c r="E1" s="47"/>
      <c r="F1" s="47"/>
      <c r="G1" s="47"/>
      <c r="H1" s="47"/>
      <c r="I1" s="47"/>
      <c r="J1" s="47"/>
    </row>
    <row r="2" spans="1:31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31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31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31" x14ac:dyDescent="0.25">
      <c r="A5" s="27">
        <v>12</v>
      </c>
      <c r="B5" s="28">
        <v>29290</v>
      </c>
      <c r="C5" s="29">
        <v>48720</v>
      </c>
      <c r="D5" s="28">
        <f>C5-E5</f>
        <v>6601</v>
      </c>
      <c r="E5" s="29">
        <v>42119</v>
      </c>
      <c r="F5" s="30">
        <f>C5</f>
        <v>48720</v>
      </c>
      <c r="G5" s="28">
        <f>F5-H5+1</f>
        <v>3301</v>
      </c>
      <c r="H5" s="29">
        <v>45420</v>
      </c>
      <c r="I5" s="31">
        <v>0</v>
      </c>
      <c r="J5" s="31">
        <f>F5</f>
        <v>48720</v>
      </c>
    </row>
    <row r="6" spans="1:31" x14ac:dyDescent="0.25">
      <c r="A6" s="32">
        <v>13</v>
      </c>
      <c r="B6" s="33">
        <v>29590</v>
      </c>
      <c r="C6" s="34">
        <f>C5+540</f>
        <v>49260</v>
      </c>
      <c r="D6" s="35">
        <f t="shared" ref="D6:D19" si="0">C6-E6</f>
        <v>6769</v>
      </c>
      <c r="E6" s="34">
        <v>42491</v>
      </c>
      <c r="F6" s="36">
        <f t="shared" ref="F6:F19" si="1">C6</f>
        <v>49260</v>
      </c>
      <c r="G6" s="35">
        <f>F6-H6+1</f>
        <v>3385</v>
      </c>
      <c r="H6" s="34">
        <f>H5+456</f>
        <v>45876</v>
      </c>
      <c r="I6" s="37">
        <v>0</v>
      </c>
      <c r="J6" s="37">
        <f t="shared" ref="J6:J19" si="2">F6</f>
        <v>49260</v>
      </c>
      <c r="L6" s="44"/>
    </row>
    <row r="7" spans="1:31" x14ac:dyDescent="0.25">
      <c r="A7" s="32">
        <v>14</v>
      </c>
      <c r="B7" s="33">
        <f>B6+300</f>
        <v>29890</v>
      </c>
      <c r="C7" s="34">
        <f t="shared" ref="C7:C29" si="3">C6+540</f>
        <v>49800</v>
      </c>
      <c r="D7" s="35">
        <f t="shared" si="0"/>
        <v>6937</v>
      </c>
      <c r="E7" s="34">
        <f>E6+372</f>
        <v>42863</v>
      </c>
      <c r="F7" s="36">
        <f t="shared" si="1"/>
        <v>49800</v>
      </c>
      <c r="G7" s="35">
        <f t="shared" ref="G7:G19" si="4">F7-H7+1</f>
        <v>3469</v>
      </c>
      <c r="H7" s="34">
        <f t="shared" ref="H7:H29" si="5">H6+456</f>
        <v>46332</v>
      </c>
      <c r="I7" s="37">
        <v>0</v>
      </c>
      <c r="J7" s="37">
        <f t="shared" si="2"/>
        <v>49800</v>
      </c>
    </row>
    <row r="8" spans="1:31" x14ac:dyDescent="0.25">
      <c r="A8" s="32">
        <v>15</v>
      </c>
      <c r="B8" s="33">
        <f t="shared" ref="B8:B29" si="6">B7+300</f>
        <v>30190</v>
      </c>
      <c r="C8" s="34">
        <f t="shared" si="3"/>
        <v>50340</v>
      </c>
      <c r="D8" s="35">
        <f t="shared" si="0"/>
        <v>7105</v>
      </c>
      <c r="E8" s="34">
        <f t="shared" ref="E8:E29" si="7">E7+372</f>
        <v>43235</v>
      </c>
      <c r="F8" s="36">
        <f t="shared" si="1"/>
        <v>50340</v>
      </c>
      <c r="G8" s="35">
        <f t="shared" si="4"/>
        <v>3553</v>
      </c>
      <c r="H8" s="34">
        <f t="shared" si="5"/>
        <v>46788</v>
      </c>
      <c r="I8" s="37">
        <v>0</v>
      </c>
      <c r="J8" s="37">
        <f t="shared" si="2"/>
        <v>50340</v>
      </c>
    </row>
    <row r="9" spans="1:31" x14ac:dyDescent="0.25">
      <c r="A9" s="32">
        <v>16</v>
      </c>
      <c r="B9" s="33">
        <f t="shared" si="6"/>
        <v>30490</v>
      </c>
      <c r="C9" s="34">
        <f t="shared" si="3"/>
        <v>50880</v>
      </c>
      <c r="D9" s="35">
        <f t="shared" si="0"/>
        <v>7273</v>
      </c>
      <c r="E9" s="34">
        <f t="shared" si="7"/>
        <v>43607</v>
      </c>
      <c r="F9" s="36">
        <f t="shared" si="1"/>
        <v>50880</v>
      </c>
      <c r="G9" s="35">
        <f t="shared" si="4"/>
        <v>3637</v>
      </c>
      <c r="H9" s="34">
        <f t="shared" si="5"/>
        <v>47244</v>
      </c>
      <c r="I9" s="37">
        <v>0</v>
      </c>
      <c r="J9" s="37">
        <f t="shared" si="2"/>
        <v>50880</v>
      </c>
    </row>
    <row r="10" spans="1:31" x14ac:dyDescent="0.25">
      <c r="A10" s="32">
        <v>17</v>
      </c>
      <c r="B10" s="33">
        <f t="shared" si="6"/>
        <v>30790</v>
      </c>
      <c r="C10" s="34">
        <f t="shared" si="3"/>
        <v>51420</v>
      </c>
      <c r="D10" s="35">
        <f t="shared" si="0"/>
        <v>7441</v>
      </c>
      <c r="E10" s="34">
        <f t="shared" si="7"/>
        <v>43979</v>
      </c>
      <c r="F10" s="36">
        <f t="shared" si="1"/>
        <v>51420</v>
      </c>
      <c r="G10" s="35">
        <f t="shared" si="4"/>
        <v>3721</v>
      </c>
      <c r="H10" s="34">
        <f t="shared" si="5"/>
        <v>47700</v>
      </c>
      <c r="I10" s="37">
        <v>0</v>
      </c>
      <c r="J10" s="37">
        <f t="shared" si="2"/>
        <v>51420</v>
      </c>
    </row>
    <row r="11" spans="1:31" x14ac:dyDescent="0.25">
      <c r="A11" s="32">
        <v>18</v>
      </c>
      <c r="B11" s="33">
        <f t="shared" si="6"/>
        <v>31090</v>
      </c>
      <c r="C11" s="34">
        <f t="shared" si="3"/>
        <v>51960</v>
      </c>
      <c r="D11" s="35">
        <f t="shared" si="0"/>
        <v>7609</v>
      </c>
      <c r="E11" s="34">
        <f t="shared" si="7"/>
        <v>44351</v>
      </c>
      <c r="F11" s="36">
        <f t="shared" si="1"/>
        <v>51960</v>
      </c>
      <c r="G11" s="35">
        <f t="shared" si="4"/>
        <v>3805</v>
      </c>
      <c r="H11" s="34">
        <f t="shared" si="5"/>
        <v>48156</v>
      </c>
      <c r="I11" s="37">
        <v>0</v>
      </c>
      <c r="J11" s="37">
        <f t="shared" si="2"/>
        <v>51960</v>
      </c>
    </row>
    <row r="12" spans="1:31" ht="17.25" x14ac:dyDescent="0.3">
      <c r="A12" s="32">
        <v>19</v>
      </c>
      <c r="B12" s="33">
        <f t="shared" si="6"/>
        <v>31390</v>
      </c>
      <c r="C12" s="34">
        <f t="shared" si="3"/>
        <v>52500</v>
      </c>
      <c r="D12" s="35">
        <f t="shared" si="0"/>
        <v>7777</v>
      </c>
      <c r="E12" s="34">
        <f t="shared" si="7"/>
        <v>44723</v>
      </c>
      <c r="F12" s="36">
        <f t="shared" si="1"/>
        <v>52500</v>
      </c>
      <c r="G12" s="35">
        <f t="shared" si="4"/>
        <v>3889</v>
      </c>
      <c r="H12" s="34">
        <f t="shared" si="5"/>
        <v>48612</v>
      </c>
      <c r="I12" s="37">
        <v>0</v>
      </c>
      <c r="J12" s="37">
        <f t="shared" si="2"/>
        <v>52500</v>
      </c>
      <c r="AE12" s="74" t="s">
        <v>33</v>
      </c>
    </row>
    <row r="13" spans="1:31" x14ac:dyDescent="0.25">
      <c r="A13" s="32">
        <v>20</v>
      </c>
      <c r="B13" s="33">
        <f t="shared" si="6"/>
        <v>31690</v>
      </c>
      <c r="C13" s="34">
        <f t="shared" si="3"/>
        <v>53040</v>
      </c>
      <c r="D13" s="35">
        <f t="shared" si="0"/>
        <v>7945</v>
      </c>
      <c r="E13" s="34">
        <f t="shared" si="7"/>
        <v>45095</v>
      </c>
      <c r="F13" s="36">
        <f t="shared" si="1"/>
        <v>53040</v>
      </c>
      <c r="G13" s="35">
        <f t="shared" si="4"/>
        <v>3973</v>
      </c>
      <c r="H13" s="34">
        <f t="shared" si="5"/>
        <v>49068</v>
      </c>
      <c r="I13" s="37">
        <v>0</v>
      </c>
      <c r="J13" s="37">
        <f t="shared" si="2"/>
        <v>53040</v>
      </c>
    </row>
    <row r="14" spans="1:31" x14ac:dyDescent="0.25">
      <c r="A14" s="32">
        <v>21</v>
      </c>
      <c r="B14" s="33">
        <f t="shared" si="6"/>
        <v>31990</v>
      </c>
      <c r="C14" s="34">
        <f t="shared" si="3"/>
        <v>53580</v>
      </c>
      <c r="D14" s="35">
        <f t="shared" si="0"/>
        <v>8113</v>
      </c>
      <c r="E14" s="34">
        <f t="shared" si="7"/>
        <v>45467</v>
      </c>
      <c r="F14" s="36">
        <f t="shared" si="1"/>
        <v>53580</v>
      </c>
      <c r="G14" s="35">
        <f t="shared" si="4"/>
        <v>4057</v>
      </c>
      <c r="H14" s="34">
        <f t="shared" si="5"/>
        <v>49524</v>
      </c>
      <c r="I14" s="37">
        <v>0</v>
      </c>
      <c r="J14" s="37">
        <f t="shared" si="2"/>
        <v>53580</v>
      </c>
    </row>
    <row r="15" spans="1:31" x14ac:dyDescent="0.25">
      <c r="A15" s="32">
        <v>22</v>
      </c>
      <c r="B15" s="33">
        <f t="shared" si="6"/>
        <v>32290</v>
      </c>
      <c r="C15" s="34">
        <f t="shared" si="3"/>
        <v>54120</v>
      </c>
      <c r="D15" s="35">
        <f t="shared" si="0"/>
        <v>8281</v>
      </c>
      <c r="E15" s="34">
        <f t="shared" si="7"/>
        <v>45839</v>
      </c>
      <c r="F15" s="36">
        <f t="shared" si="1"/>
        <v>54120</v>
      </c>
      <c r="G15" s="35">
        <f t="shared" si="4"/>
        <v>4141</v>
      </c>
      <c r="H15" s="34">
        <f t="shared" si="5"/>
        <v>49980</v>
      </c>
      <c r="I15" s="37">
        <v>0</v>
      </c>
      <c r="J15" s="37">
        <f t="shared" si="2"/>
        <v>54120</v>
      </c>
    </row>
    <row r="16" spans="1:31" x14ac:dyDescent="0.25">
      <c r="A16" s="32">
        <v>23</v>
      </c>
      <c r="B16" s="33">
        <f t="shared" si="6"/>
        <v>32590</v>
      </c>
      <c r="C16" s="34">
        <f t="shared" si="3"/>
        <v>54660</v>
      </c>
      <c r="D16" s="35">
        <f t="shared" si="0"/>
        <v>8449</v>
      </c>
      <c r="E16" s="34">
        <f t="shared" si="7"/>
        <v>46211</v>
      </c>
      <c r="F16" s="36">
        <f t="shared" si="1"/>
        <v>54660</v>
      </c>
      <c r="G16" s="35">
        <f t="shared" si="4"/>
        <v>4225</v>
      </c>
      <c r="H16" s="34">
        <f t="shared" si="5"/>
        <v>50436</v>
      </c>
      <c r="I16" s="37">
        <v>0</v>
      </c>
      <c r="J16" s="37">
        <f t="shared" si="2"/>
        <v>54660</v>
      </c>
    </row>
    <row r="17" spans="1:10" x14ac:dyDescent="0.25">
      <c r="A17" s="32">
        <v>24</v>
      </c>
      <c r="B17" s="33">
        <f t="shared" si="6"/>
        <v>32890</v>
      </c>
      <c r="C17" s="34">
        <f t="shared" si="3"/>
        <v>55200</v>
      </c>
      <c r="D17" s="35">
        <f t="shared" si="0"/>
        <v>8617</v>
      </c>
      <c r="E17" s="34">
        <f t="shared" si="7"/>
        <v>46583</v>
      </c>
      <c r="F17" s="36">
        <f t="shared" si="1"/>
        <v>55200</v>
      </c>
      <c r="G17" s="35">
        <f t="shared" si="4"/>
        <v>4309</v>
      </c>
      <c r="H17" s="34">
        <f t="shared" si="5"/>
        <v>50892</v>
      </c>
      <c r="I17" s="37">
        <v>0</v>
      </c>
      <c r="J17" s="37">
        <f t="shared" si="2"/>
        <v>55200</v>
      </c>
    </row>
    <row r="18" spans="1:10" x14ac:dyDescent="0.25">
      <c r="A18" s="32">
        <v>25</v>
      </c>
      <c r="B18" s="33">
        <f t="shared" si="6"/>
        <v>33190</v>
      </c>
      <c r="C18" s="34">
        <f t="shared" si="3"/>
        <v>55740</v>
      </c>
      <c r="D18" s="35">
        <f t="shared" si="0"/>
        <v>8785</v>
      </c>
      <c r="E18" s="34">
        <f t="shared" si="7"/>
        <v>46955</v>
      </c>
      <c r="F18" s="36">
        <f t="shared" si="1"/>
        <v>55740</v>
      </c>
      <c r="G18" s="35">
        <f t="shared" si="4"/>
        <v>4393</v>
      </c>
      <c r="H18" s="34">
        <f t="shared" si="5"/>
        <v>51348</v>
      </c>
      <c r="I18" s="37">
        <v>0</v>
      </c>
      <c r="J18" s="37">
        <f t="shared" si="2"/>
        <v>55740</v>
      </c>
    </row>
    <row r="19" spans="1:10" ht="15.75" thickBot="1" x14ac:dyDescent="0.3">
      <c r="A19" s="38">
        <v>26</v>
      </c>
      <c r="B19" s="39">
        <f t="shared" si="6"/>
        <v>33490</v>
      </c>
      <c r="C19" s="40">
        <f t="shared" si="3"/>
        <v>56280</v>
      </c>
      <c r="D19" s="41">
        <f t="shared" si="0"/>
        <v>8953</v>
      </c>
      <c r="E19" s="40">
        <f t="shared" si="7"/>
        <v>47327</v>
      </c>
      <c r="F19" s="42">
        <f t="shared" si="1"/>
        <v>56280</v>
      </c>
      <c r="G19" s="35">
        <f t="shared" si="4"/>
        <v>4477</v>
      </c>
      <c r="H19" s="40">
        <f t="shared" si="5"/>
        <v>51804</v>
      </c>
      <c r="I19" s="43">
        <v>0</v>
      </c>
      <c r="J19" s="43">
        <f t="shared" si="2"/>
        <v>56280</v>
      </c>
    </row>
    <row r="20" spans="1:10" x14ac:dyDescent="0.25">
      <c r="A20" s="68">
        <v>27</v>
      </c>
      <c r="B20" s="69">
        <f t="shared" si="6"/>
        <v>33790</v>
      </c>
      <c r="C20" s="70">
        <f t="shared" si="3"/>
        <v>56820</v>
      </c>
      <c r="D20" s="71">
        <f t="shared" ref="D20:D23" si="8">C20-E20</f>
        <v>9121</v>
      </c>
      <c r="E20" s="70">
        <f t="shared" si="7"/>
        <v>47699</v>
      </c>
      <c r="F20" s="72">
        <f t="shared" ref="F20:F23" si="9">C20</f>
        <v>56820</v>
      </c>
      <c r="G20" s="71">
        <f t="shared" ref="G20:G23" si="10">F20-H20+1</f>
        <v>4561</v>
      </c>
      <c r="H20" s="70">
        <f t="shared" si="5"/>
        <v>52260</v>
      </c>
      <c r="I20" s="73">
        <v>0</v>
      </c>
      <c r="J20" s="73">
        <f t="shared" ref="J20:J23" si="11">F20</f>
        <v>56820</v>
      </c>
    </row>
    <row r="21" spans="1:10" ht="15.75" thickBot="1" x14ac:dyDescent="0.3">
      <c r="A21" s="38">
        <v>28</v>
      </c>
      <c r="B21" s="39">
        <f t="shared" si="6"/>
        <v>34090</v>
      </c>
      <c r="C21" s="40">
        <f t="shared" si="3"/>
        <v>57360</v>
      </c>
      <c r="D21" s="41">
        <f t="shared" si="8"/>
        <v>9289</v>
      </c>
      <c r="E21" s="40">
        <f t="shared" si="7"/>
        <v>48071</v>
      </c>
      <c r="F21" s="42">
        <f t="shared" si="9"/>
        <v>57360</v>
      </c>
      <c r="G21" s="35">
        <f t="shared" si="10"/>
        <v>4645</v>
      </c>
      <c r="H21" s="40">
        <f t="shared" si="5"/>
        <v>52716</v>
      </c>
      <c r="I21" s="43">
        <v>0</v>
      </c>
      <c r="J21" s="43">
        <f t="shared" si="11"/>
        <v>57360</v>
      </c>
    </row>
    <row r="22" spans="1:10" x14ac:dyDescent="0.25">
      <c r="A22" s="32">
        <v>29</v>
      </c>
      <c r="B22" s="33">
        <f t="shared" si="6"/>
        <v>34390</v>
      </c>
      <c r="C22" s="34">
        <f t="shared" si="3"/>
        <v>57900</v>
      </c>
      <c r="D22" s="35">
        <f t="shared" si="8"/>
        <v>9457</v>
      </c>
      <c r="E22" s="34">
        <f t="shared" si="7"/>
        <v>48443</v>
      </c>
      <c r="F22" s="36">
        <f t="shared" si="9"/>
        <v>57900</v>
      </c>
      <c r="G22" s="35">
        <f t="shared" si="10"/>
        <v>4729</v>
      </c>
      <c r="H22" s="34">
        <f t="shared" si="5"/>
        <v>53172</v>
      </c>
      <c r="I22" s="37">
        <v>0</v>
      </c>
      <c r="J22" s="37">
        <f t="shared" si="11"/>
        <v>57900</v>
      </c>
    </row>
    <row r="23" spans="1:10" ht="15.75" thickBot="1" x14ac:dyDescent="0.3">
      <c r="A23" s="38">
        <v>30</v>
      </c>
      <c r="B23" s="39">
        <f t="shared" si="6"/>
        <v>34690</v>
      </c>
      <c r="C23" s="40">
        <f t="shared" si="3"/>
        <v>58440</v>
      </c>
      <c r="D23" s="41">
        <f t="shared" si="8"/>
        <v>9625</v>
      </c>
      <c r="E23" s="40">
        <f t="shared" si="7"/>
        <v>48815</v>
      </c>
      <c r="F23" s="42">
        <f t="shared" si="9"/>
        <v>58440</v>
      </c>
      <c r="G23" s="35">
        <f t="shared" si="10"/>
        <v>4813</v>
      </c>
      <c r="H23" s="40">
        <f t="shared" si="5"/>
        <v>53628</v>
      </c>
      <c r="I23" s="43">
        <v>0</v>
      </c>
      <c r="J23" s="43">
        <f t="shared" si="11"/>
        <v>58440</v>
      </c>
    </row>
    <row r="24" spans="1:10" ht="15.75" thickBot="1" x14ac:dyDescent="0.3">
      <c r="A24" s="38">
        <v>31</v>
      </c>
      <c r="B24" s="39">
        <f t="shared" si="6"/>
        <v>34990</v>
      </c>
      <c r="C24" s="40">
        <f t="shared" si="3"/>
        <v>58980</v>
      </c>
      <c r="D24" s="41">
        <f t="shared" ref="D24:D29" si="12">C24-E24</f>
        <v>9793</v>
      </c>
      <c r="E24" s="40">
        <f t="shared" si="7"/>
        <v>49187</v>
      </c>
      <c r="F24" s="42">
        <f t="shared" ref="F24:F29" si="13">C24</f>
        <v>58980</v>
      </c>
      <c r="G24" s="35">
        <f t="shared" ref="G24:G29" si="14">F24-H24+1</f>
        <v>4897</v>
      </c>
      <c r="H24" s="40">
        <f t="shared" si="5"/>
        <v>54084</v>
      </c>
      <c r="I24" s="43">
        <v>0</v>
      </c>
      <c r="J24" s="43">
        <f t="shared" ref="J24:J29" si="15">F24</f>
        <v>58980</v>
      </c>
    </row>
    <row r="25" spans="1:10" x14ac:dyDescent="0.25">
      <c r="A25" s="32">
        <v>32</v>
      </c>
      <c r="B25" s="33">
        <f t="shared" si="6"/>
        <v>35290</v>
      </c>
      <c r="C25" s="34">
        <f t="shared" si="3"/>
        <v>59520</v>
      </c>
      <c r="D25" s="35">
        <f t="shared" si="12"/>
        <v>9961</v>
      </c>
      <c r="E25" s="34">
        <f t="shared" si="7"/>
        <v>49559</v>
      </c>
      <c r="F25" s="36">
        <f t="shared" si="13"/>
        <v>59520</v>
      </c>
      <c r="G25" s="35">
        <f t="shared" si="14"/>
        <v>4981</v>
      </c>
      <c r="H25" s="34">
        <f t="shared" si="5"/>
        <v>54540</v>
      </c>
      <c r="I25" s="37">
        <v>0</v>
      </c>
      <c r="J25" s="37">
        <f t="shared" si="15"/>
        <v>59520</v>
      </c>
    </row>
    <row r="26" spans="1:10" ht="15.75" thickBot="1" x14ac:dyDescent="0.3">
      <c r="A26" s="38">
        <v>33</v>
      </c>
      <c r="B26" s="39">
        <f t="shared" si="6"/>
        <v>35590</v>
      </c>
      <c r="C26" s="40">
        <f t="shared" si="3"/>
        <v>60060</v>
      </c>
      <c r="D26" s="41">
        <f t="shared" si="12"/>
        <v>10129</v>
      </c>
      <c r="E26" s="40">
        <f t="shared" si="7"/>
        <v>49931</v>
      </c>
      <c r="F26" s="42">
        <f t="shared" si="13"/>
        <v>60060</v>
      </c>
      <c r="G26" s="35">
        <f t="shared" si="14"/>
        <v>5065</v>
      </c>
      <c r="H26" s="40">
        <f t="shared" si="5"/>
        <v>54996</v>
      </c>
      <c r="I26" s="43">
        <v>0</v>
      </c>
      <c r="J26" s="43">
        <f t="shared" si="15"/>
        <v>60060</v>
      </c>
    </row>
    <row r="27" spans="1:10" ht="15.75" thickBot="1" x14ac:dyDescent="0.3">
      <c r="A27" s="38">
        <v>34</v>
      </c>
      <c r="B27" s="39">
        <f t="shared" si="6"/>
        <v>35890</v>
      </c>
      <c r="C27" s="40">
        <f t="shared" si="3"/>
        <v>60600</v>
      </c>
      <c r="D27" s="41">
        <f t="shared" si="12"/>
        <v>10297</v>
      </c>
      <c r="E27" s="40">
        <f t="shared" si="7"/>
        <v>50303</v>
      </c>
      <c r="F27" s="42">
        <f t="shared" si="13"/>
        <v>60600</v>
      </c>
      <c r="G27" s="35">
        <f t="shared" si="14"/>
        <v>5149</v>
      </c>
      <c r="H27" s="40">
        <f t="shared" si="5"/>
        <v>55452</v>
      </c>
      <c r="I27" s="43">
        <v>0</v>
      </c>
      <c r="J27" s="43">
        <f t="shared" si="15"/>
        <v>60600</v>
      </c>
    </row>
    <row r="28" spans="1:10" x14ac:dyDescent="0.25">
      <c r="A28" s="32">
        <v>35</v>
      </c>
      <c r="B28" s="33">
        <f t="shared" si="6"/>
        <v>36190</v>
      </c>
      <c r="C28" s="34">
        <f t="shared" si="3"/>
        <v>61140</v>
      </c>
      <c r="D28" s="35">
        <f t="shared" si="12"/>
        <v>10465</v>
      </c>
      <c r="E28" s="34">
        <f t="shared" si="7"/>
        <v>50675</v>
      </c>
      <c r="F28" s="36">
        <f t="shared" si="13"/>
        <v>61140</v>
      </c>
      <c r="G28" s="35">
        <f t="shared" si="14"/>
        <v>5233</v>
      </c>
      <c r="H28" s="34">
        <f t="shared" si="5"/>
        <v>55908</v>
      </c>
      <c r="I28" s="37">
        <v>0</v>
      </c>
      <c r="J28" s="37">
        <f t="shared" si="15"/>
        <v>61140</v>
      </c>
    </row>
    <row r="29" spans="1:10" ht="15.75" thickBot="1" x14ac:dyDescent="0.3">
      <c r="A29" s="38">
        <v>36</v>
      </c>
      <c r="B29" s="39">
        <f t="shared" si="6"/>
        <v>36490</v>
      </c>
      <c r="C29" s="40">
        <f t="shared" si="3"/>
        <v>61680</v>
      </c>
      <c r="D29" s="41">
        <f t="shared" si="12"/>
        <v>10633</v>
      </c>
      <c r="E29" s="40">
        <f t="shared" si="7"/>
        <v>51047</v>
      </c>
      <c r="F29" s="42">
        <f t="shared" si="13"/>
        <v>61680</v>
      </c>
      <c r="G29" s="35">
        <f t="shared" si="14"/>
        <v>5317</v>
      </c>
      <c r="H29" s="40">
        <f t="shared" si="5"/>
        <v>56364</v>
      </c>
      <c r="I29" s="43">
        <v>0</v>
      </c>
      <c r="J29" s="43">
        <f t="shared" si="15"/>
        <v>61680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J26"/>
  <sheetViews>
    <sheetView workbookViewId="0">
      <selection activeCell="E6" sqref="E6"/>
    </sheetView>
  </sheetViews>
  <sheetFormatPr defaultRowHeight="15" x14ac:dyDescent="0.25"/>
  <cols>
    <col min="2" max="10" width="12.7109375" customWidth="1"/>
  </cols>
  <sheetData>
    <row r="1" spans="1:10" ht="23.25" x14ac:dyDescent="0.35">
      <c r="A1" s="47" t="s">
        <v>17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22</v>
      </c>
      <c r="B5" s="28">
        <v>32320</v>
      </c>
      <c r="C5" s="29">
        <v>54170</v>
      </c>
      <c r="D5" s="28">
        <f>C5-E5</f>
        <v>8295</v>
      </c>
      <c r="E5" s="29">
        <v>45875</v>
      </c>
      <c r="F5" s="30">
        <f>C5</f>
        <v>54170</v>
      </c>
      <c r="G5" s="28">
        <f>F5-H5</f>
        <v>4147</v>
      </c>
      <c r="H5" s="29">
        <v>50023</v>
      </c>
      <c r="I5" s="31">
        <v>0</v>
      </c>
      <c r="J5" s="31">
        <f>F5</f>
        <v>54170</v>
      </c>
    </row>
    <row r="6" spans="1:10" x14ac:dyDescent="0.25">
      <c r="A6" s="32">
        <v>23</v>
      </c>
      <c r="B6" s="33">
        <v>32650</v>
      </c>
      <c r="C6" s="34">
        <f>C5+590</f>
        <v>54760</v>
      </c>
      <c r="D6" s="35">
        <f t="shared" ref="D6:D26" si="0">C6-E6</f>
        <v>8477</v>
      </c>
      <c r="E6" s="34">
        <v>46283</v>
      </c>
      <c r="F6" s="36">
        <f t="shared" ref="F6:F26" si="1">C6</f>
        <v>54760</v>
      </c>
      <c r="G6" s="35">
        <f t="shared" ref="G6:G26" si="2">F6-H6</f>
        <v>4238</v>
      </c>
      <c r="H6" s="34">
        <v>50522</v>
      </c>
      <c r="I6" s="37">
        <v>0</v>
      </c>
      <c r="J6" s="37">
        <f t="shared" ref="J6:J26" si="3">F6</f>
        <v>54760</v>
      </c>
    </row>
    <row r="7" spans="1:10" x14ac:dyDescent="0.25">
      <c r="A7" s="32">
        <v>24</v>
      </c>
      <c r="B7" s="33">
        <f>B6+330</f>
        <v>32980</v>
      </c>
      <c r="C7" s="34">
        <f>C6+590</f>
        <v>55350</v>
      </c>
      <c r="D7" s="35">
        <f t="shared" si="0"/>
        <v>8659</v>
      </c>
      <c r="E7" s="34">
        <f>E6+408</f>
        <v>46691</v>
      </c>
      <c r="F7" s="36">
        <f t="shared" si="1"/>
        <v>55350</v>
      </c>
      <c r="G7" s="35">
        <f t="shared" si="2"/>
        <v>4329</v>
      </c>
      <c r="H7" s="34">
        <f>H6+499</f>
        <v>51021</v>
      </c>
      <c r="I7" s="37">
        <v>0</v>
      </c>
      <c r="J7" s="37">
        <f t="shared" si="3"/>
        <v>55350</v>
      </c>
    </row>
    <row r="8" spans="1:10" x14ac:dyDescent="0.25">
      <c r="A8" s="32">
        <v>25</v>
      </c>
      <c r="B8" s="33">
        <f>B7+330</f>
        <v>33310</v>
      </c>
      <c r="C8" s="34">
        <f t="shared" ref="C8:C13" si="4">C7+590</f>
        <v>55940</v>
      </c>
      <c r="D8" s="35">
        <f t="shared" si="0"/>
        <v>8841</v>
      </c>
      <c r="E8" s="34">
        <f t="shared" ref="E8:E14" si="5">E7+408</f>
        <v>47099</v>
      </c>
      <c r="F8" s="36">
        <f t="shared" si="1"/>
        <v>55940</v>
      </c>
      <c r="G8" s="35">
        <f t="shared" si="2"/>
        <v>4420</v>
      </c>
      <c r="H8" s="34">
        <f t="shared" ref="H8:H14" si="6">H7+499</f>
        <v>51520</v>
      </c>
      <c r="I8" s="37">
        <v>0</v>
      </c>
      <c r="J8" s="37">
        <f t="shared" si="3"/>
        <v>55940</v>
      </c>
    </row>
    <row r="9" spans="1:10" x14ac:dyDescent="0.25">
      <c r="A9" s="32">
        <v>26</v>
      </c>
      <c r="B9" s="33">
        <f>B8+330</f>
        <v>33640</v>
      </c>
      <c r="C9" s="34">
        <f t="shared" si="4"/>
        <v>56530</v>
      </c>
      <c r="D9" s="35">
        <f t="shared" si="0"/>
        <v>9023</v>
      </c>
      <c r="E9" s="34">
        <f t="shared" si="5"/>
        <v>47507</v>
      </c>
      <c r="F9" s="36">
        <f t="shared" si="1"/>
        <v>56530</v>
      </c>
      <c r="G9" s="35">
        <f t="shared" si="2"/>
        <v>4511</v>
      </c>
      <c r="H9" s="34">
        <f t="shared" si="6"/>
        <v>52019</v>
      </c>
      <c r="I9" s="37">
        <v>0</v>
      </c>
      <c r="J9" s="37">
        <f t="shared" si="3"/>
        <v>56530</v>
      </c>
    </row>
    <row r="10" spans="1:10" x14ac:dyDescent="0.25">
      <c r="A10" s="32">
        <v>27</v>
      </c>
      <c r="B10" s="33">
        <f t="shared" ref="B10:B14" si="7">B9+330</f>
        <v>33970</v>
      </c>
      <c r="C10" s="34">
        <f t="shared" si="4"/>
        <v>57120</v>
      </c>
      <c r="D10" s="35">
        <f t="shared" si="0"/>
        <v>9205</v>
      </c>
      <c r="E10" s="34">
        <f t="shared" si="5"/>
        <v>47915</v>
      </c>
      <c r="F10" s="36">
        <f t="shared" si="1"/>
        <v>57120</v>
      </c>
      <c r="G10" s="35">
        <f t="shared" si="2"/>
        <v>4602</v>
      </c>
      <c r="H10" s="34">
        <f t="shared" si="6"/>
        <v>52518</v>
      </c>
      <c r="I10" s="37">
        <v>0</v>
      </c>
      <c r="J10" s="37">
        <f t="shared" si="3"/>
        <v>57120</v>
      </c>
    </row>
    <row r="11" spans="1:10" x14ac:dyDescent="0.25">
      <c r="A11" s="32">
        <v>28</v>
      </c>
      <c r="B11" s="33">
        <f t="shared" si="7"/>
        <v>34300</v>
      </c>
      <c r="C11" s="34">
        <f t="shared" si="4"/>
        <v>57710</v>
      </c>
      <c r="D11" s="35">
        <f t="shared" si="0"/>
        <v>9387</v>
      </c>
      <c r="E11" s="34">
        <f t="shared" si="5"/>
        <v>48323</v>
      </c>
      <c r="F11" s="36">
        <f t="shared" si="1"/>
        <v>57710</v>
      </c>
      <c r="G11" s="35">
        <f t="shared" si="2"/>
        <v>4693</v>
      </c>
      <c r="H11" s="34">
        <f t="shared" si="6"/>
        <v>53017</v>
      </c>
      <c r="I11" s="37">
        <v>0</v>
      </c>
      <c r="J11" s="37">
        <f t="shared" si="3"/>
        <v>57710</v>
      </c>
    </row>
    <row r="12" spans="1:10" x14ac:dyDescent="0.25">
      <c r="A12" s="32">
        <v>29</v>
      </c>
      <c r="B12" s="33">
        <f t="shared" si="7"/>
        <v>34630</v>
      </c>
      <c r="C12" s="34">
        <f t="shared" si="4"/>
        <v>58300</v>
      </c>
      <c r="D12" s="35">
        <f t="shared" si="0"/>
        <v>9569</v>
      </c>
      <c r="E12" s="34">
        <f t="shared" si="5"/>
        <v>48731</v>
      </c>
      <c r="F12" s="36">
        <f t="shared" si="1"/>
        <v>58300</v>
      </c>
      <c r="G12" s="35">
        <f t="shared" si="2"/>
        <v>4784</v>
      </c>
      <c r="H12" s="34">
        <f t="shared" si="6"/>
        <v>53516</v>
      </c>
      <c r="I12" s="37">
        <v>0</v>
      </c>
      <c r="J12" s="37">
        <f t="shared" si="3"/>
        <v>58300</v>
      </c>
    </row>
    <row r="13" spans="1:10" x14ac:dyDescent="0.25">
      <c r="A13" s="32">
        <v>30</v>
      </c>
      <c r="B13" s="33">
        <f t="shared" si="7"/>
        <v>34960</v>
      </c>
      <c r="C13" s="34">
        <f t="shared" si="4"/>
        <v>58890</v>
      </c>
      <c r="D13" s="35">
        <f t="shared" si="0"/>
        <v>9751</v>
      </c>
      <c r="E13" s="34">
        <f t="shared" si="5"/>
        <v>49139</v>
      </c>
      <c r="F13" s="36">
        <f t="shared" si="1"/>
        <v>58890</v>
      </c>
      <c r="G13" s="35">
        <f t="shared" si="2"/>
        <v>4875</v>
      </c>
      <c r="H13" s="34">
        <f t="shared" si="6"/>
        <v>54015</v>
      </c>
      <c r="I13" s="37">
        <v>0</v>
      </c>
      <c r="J13" s="37">
        <f t="shared" si="3"/>
        <v>58890</v>
      </c>
    </row>
    <row r="14" spans="1:10" x14ac:dyDescent="0.25">
      <c r="A14" s="32">
        <v>31</v>
      </c>
      <c r="B14" s="33">
        <f t="shared" si="7"/>
        <v>35290</v>
      </c>
      <c r="C14" s="34">
        <f>C13+590</f>
        <v>59480</v>
      </c>
      <c r="D14" s="35">
        <f t="shared" si="0"/>
        <v>9933</v>
      </c>
      <c r="E14" s="34">
        <f t="shared" si="5"/>
        <v>49547</v>
      </c>
      <c r="F14" s="36">
        <f t="shared" si="1"/>
        <v>59480</v>
      </c>
      <c r="G14" s="35">
        <f t="shared" si="2"/>
        <v>4966</v>
      </c>
      <c r="H14" s="34">
        <f t="shared" si="6"/>
        <v>54514</v>
      </c>
      <c r="I14" s="37">
        <v>0</v>
      </c>
      <c r="J14" s="37">
        <f t="shared" si="3"/>
        <v>59480</v>
      </c>
    </row>
    <row r="15" spans="1:10" x14ac:dyDescent="0.25">
      <c r="A15" s="32">
        <v>32</v>
      </c>
      <c r="B15" s="33">
        <f>B14+350</f>
        <v>35640</v>
      </c>
      <c r="C15" s="34">
        <f>C14+630</f>
        <v>60110</v>
      </c>
      <c r="D15" s="35">
        <f t="shared" si="0"/>
        <v>10129</v>
      </c>
      <c r="E15" s="34">
        <f>E14+434</f>
        <v>49981</v>
      </c>
      <c r="F15" s="36">
        <f t="shared" si="1"/>
        <v>60110</v>
      </c>
      <c r="G15" s="35">
        <f t="shared" si="2"/>
        <v>5064</v>
      </c>
      <c r="H15" s="34">
        <f>H14+532</f>
        <v>55046</v>
      </c>
      <c r="I15" s="37">
        <v>0</v>
      </c>
      <c r="J15" s="37">
        <f t="shared" si="3"/>
        <v>60110</v>
      </c>
    </row>
    <row r="16" spans="1:10" x14ac:dyDescent="0.25">
      <c r="A16" s="32">
        <v>33</v>
      </c>
      <c r="B16" s="33">
        <f t="shared" ref="B16:B26" si="8">B15+350</f>
        <v>35990</v>
      </c>
      <c r="C16" s="34">
        <f t="shared" ref="C16:C26" si="9">C15+630</f>
        <v>60740</v>
      </c>
      <c r="D16" s="35">
        <f t="shared" si="0"/>
        <v>10325</v>
      </c>
      <c r="E16" s="34">
        <f t="shared" ref="E16:E26" si="10">E15+434</f>
        <v>50415</v>
      </c>
      <c r="F16" s="36">
        <f t="shared" si="1"/>
        <v>60740</v>
      </c>
      <c r="G16" s="35">
        <f t="shared" si="2"/>
        <v>5162</v>
      </c>
      <c r="H16" s="34">
        <f t="shared" ref="H16:H26" si="11">H15+532</f>
        <v>55578</v>
      </c>
      <c r="I16" s="37">
        <v>0</v>
      </c>
      <c r="J16" s="37">
        <f t="shared" si="3"/>
        <v>60740</v>
      </c>
    </row>
    <row r="17" spans="1:10" x14ac:dyDescent="0.25">
      <c r="A17" s="32">
        <v>34</v>
      </c>
      <c r="B17" s="33">
        <f t="shared" si="8"/>
        <v>36340</v>
      </c>
      <c r="C17" s="34">
        <f t="shared" si="9"/>
        <v>61370</v>
      </c>
      <c r="D17" s="35">
        <f t="shared" si="0"/>
        <v>10521</v>
      </c>
      <c r="E17" s="34">
        <f t="shared" si="10"/>
        <v>50849</v>
      </c>
      <c r="F17" s="36">
        <f t="shared" si="1"/>
        <v>61370</v>
      </c>
      <c r="G17" s="35">
        <f t="shared" si="2"/>
        <v>5260</v>
      </c>
      <c r="H17" s="34">
        <f t="shared" si="11"/>
        <v>56110</v>
      </c>
      <c r="I17" s="37">
        <v>0</v>
      </c>
      <c r="J17" s="37">
        <f t="shared" si="3"/>
        <v>61370</v>
      </c>
    </row>
    <row r="18" spans="1:10" x14ac:dyDescent="0.25">
      <c r="A18" s="32">
        <v>35</v>
      </c>
      <c r="B18" s="33">
        <f t="shared" si="8"/>
        <v>36690</v>
      </c>
      <c r="C18" s="34">
        <f t="shared" si="9"/>
        <v>62000</v>
      </c>
      <c r="D18" s="35">
        <f t="shared" si="0"/>
        <v>10717</v>
      </c>
      <c r="E18" s="34">
        <f t="shared" si="10"/>
        <v>51283</v>
      </c>
      <c r="F18" s="36">
        <f t="shared" si="1"/>
        <v>62000</v>
      </c>
      <c r="G18" s="35">
        <f t="shared" si="2"/>
        <v>5358</v>
      </c>
      <c r="H18" s="34">
        <f t="shared" si="11"/>
        <v>56642</v>
      </c>
      <c r="I18" s="37">
        <v>0</v>
      </c>
      <c r="J18" s="37">
        <f t="shared" si="3"/>
        <v>62000</v>
      </c>
    </row>
    <row r="19" spans="1:10" x14ac:dyDescent="0.25">
      <c r="A19" s="32">
        <v>36</v>
      </c>
      <c r="B19" s="33">
        <f t="shared" si="8"/>
        <v>37040</v>
      </c>
      <c r="C19" s="34">
        <f t="shared" si="9"/>
        <v>62630</v>
      </c>
      <c r="D19" s="35">
        <f t="shared" si="0"/>
        <v>10913</v>
      </c>
      <c r="E19" s="34">
        <f t="shared" si="10"/>
        <v>51717</v>
      </c>
      <c r="F19" s="36">
        <f t="shared" si="1"/>
        <v>62630</v>
      </c>
      <c r="G19" s="35">
        <f t="shared" si="2"/>
        <v>5456</v>
      </c>
      <c r="H19" s="34">
        <f t="shared" si="11"/>
        <v>57174</v>
      </c>
      <c r="I19" s="37">
        <v>0</v>
      </c>
      <c r="J19" s="37">
        <f t="shared" si="3"/>
        <v>62630</v>
      </c>
    </row>
    <row r="20" spans="1:10" x14ac:dyDescent="0.25">
      <c r="A20" s="32">
        <v>37</v>
      </c>
      <c r="B20" s="33">
        <f t="shared" si="8"/>
        <v>37390</v>
      </c>
      <c r="C20" s="34">
        <f t="shared" si="9"/>
        <v>63260</v>
      </c>
      <c r="D20" s="35">
        <f t="shared" si="0"/>
        <v>11109</v>
      </c>
      <c r="E20" s="34">
        <f t="shared" si="10"/>
        <v>52151</v>
      </c>
      <c r="F20" s="36">
        <f t="shared" si="1"/>
        <v>63260</v>
      </c>
      <c r="G20" s="35">
        <f t="shared" si="2"/>
        <v>5554</v>
      </c>
      <c r="H20" s="34">
        <f t="shared" si="11"/>
        <v>57706</v>
      </c>
      <c r="I20" s="37">
        <v>0</v>
      </c>
      <c r="J20" s="37">
        <f t="shared" si="3"/>
        <v>63260</v>
      </c>
    </row>
    <row r="21" spans="1:10" x14ac:dyDescent="0.25">
      <c r="A21" s="32">
        <v>38</v>
      </c>
      <c r="B21" s="33">
        <f t="shared" si="8"/>
        <v>37740</v>
      </c>
      <c r="C21" s="34">
        <f t="shared" si="9"/>
        <v>63890</v>
      </c>
      <c r="D21" s="35">
        <f t="shared" si="0"/>
        <v>11305</v>
      </c>
      <c r="E21" s="34">
        <f t="shared" si="10"/>
        <v>52585</v>
      </c>
      <c r="F21" s="36">
        <f t="shared" si="1"/>
        <v>63890</v>
      </c>
      <c r="G21" s="35">
        <f t="shared" si="2"/>
        <v>5652</v>
      </c>
      <c r="H21" s="34">
        <f t="shared" si="11"/>
        <v>58238</v>
      </c>
      <c r="I21" s="37">
        <v>0</v>
      </c>
      <c r="J21" s="37">
        <f t="shared" si="3"/>
        <v>63890</v>
      </c>
    </row>
    <row r="22" spans="1:10" x14ac:dyDescent="0.25">
      <c r="A22" s="32">
        <v>39</v>
      </c>
      <c r="B22" s="33">
        <f t="shared" si="8"/>
        <v>38090</v>
      </c>
      <c r="C22" s="34">
        <f t="shared" si="9"/>
        <v>64520</v>
      </c>
      <c r="D22" s="35">
        <f t="shared" si="0"/>
        <v>11501</v>
      </c>
      <c r="E22" s="34">
        <f t="shared" si="10"/>
        <v>53019</v>
      </c>
      <c r="F22" s="36">
        <f t="shared" si="1"/>
        <v>64520</v>
      </c>
      <c r="G22" s="35">
        <f t="shared" si="2"/>
        <v>5750</v>
      </c>
      <c r="H22" s="34">
        <f t="shared" si="11"/>
        <v>58770</v>
      </c>
      <c r="I22" s="37">
        <v>0</v>
      </c>
      <c r="J22" s="37">
        <f t="shared" si="3"/>
        <v>64520</v>
      </c>
    </row>
    <row r="23" spans="1:10" x14ac:dyDescent="0.25">
      <c r="A23" s="32">
        <v>40</v>
      </c>
      <c r="B23" s="33">
        <f t="shared" si="8"/>
        <v>38440</v>
      </c>
      <c r="C23" s="34">
        <f t="shared" si="9"/>
        <v>65150</v>
      </c>
      <c r="D23" s="35">
        <f t="shared" si="0"/>
        <v>11697</v>
      </c>
      <c r="E23" s="34">
        <f t="shared" si="10"/>
        <v>53453</v>
      </c>
      <c r="F23" s="36">
        <f t="shared" si="1"/>
        <v>65150</v>
      </c>
      <c r="G23" s="35">
        <f t="shared" si="2"/>
        <v>5848</v>
      </c>
      <c r="H23" s="34">
        <f t="shared" si="11"/>
        <v>59302</v>
      </c>
      <c r="I23" s="37">
        <v>0</v>
      </c>
      <c r="J23" s="37">
        <f t="shared" si="3"/>
        <v>65150</v>
      </c>
    </row>
    <row r="24" spans="1:10" x14ac:dyDescent="0.25">
      <c r="A24" s="32">
        <v>41</v>
      </c>
      <c r="B24" s="33">
        <f t="shared" si="8"/>
        <v>38790</v>
      </c>
      <c r="C24" s="34">
        <f t="shared" si="9"/>
        <v>65780</v>
      </c>
      <c r="D24" s="35">
        <f t="shared" si="0"/>
        <v>11893</v>
      </c>
      <c r="E24" s="34">
        <f t="shared" si="10"/>
        <v>53887</v>
      </c>
      <c r="F24" s="36">
        <f t="shared" si="1"/>
        <v>65780</v>
      </c>
      <c r="G24" s="35">
        <f t="shared" si="2"/>
        <v>5946</v>
      </c>
      <c r="H24" s="34">
        <f t="shared" si="11"/>
        <v>59834</v>
      </c>
      <c r="I24" s="37">
        <v>0</v>
      </c>
      <c r="J24" s="37">
        <f t="shared" si="3"/>
        <v>65780</v>
      </c>
    </row>
    <row r="25" spans="1:10" x14ac:dyDescent="0.25">
      <c r="A25" s="32">
        <v>42</v>
      </c>
      <c r="B25" s="33">
        <f t="shared" si="8"/>
        <v>39140</v>
      </c>
      <c r="C25" s="34">
        <f t="shared" si="9"/>
        <v>66410</v>
      </c>
      <c r="D25" s="35">
        <f t="shared" si="0"/>
        <v>12089</v>
      </c>
      <c r="E25" s="34">
        <f t="shared" si="10"/>
        <v>54321</v>
      </c>
      <c r="F25" s="36">
        <f t="shared" si="1"/>
        <v>66410</v>
      </c>
      <c r="G25" s="35">
        <f t="shared" si="2"/>
        <v>6044</v>
      </c>
      <c r="H25" s="34">
        <f t="shared" si="11"/>
        <v>60366</v>
      </c>
      <c r="I25" s="37">
        <v>0</v>
      </c>
      <c r="J25" s="37">
        <f t="shared" si="3"/>
        <v>66410</v>
      </c>
    </row>
    <row r="26" spans="1:10" ht="15.75" thickBot="1" x14ac:dyDescent="0.3">
      <c r="A26" s="38">
        <v>43</v>
      </c>
      <c r="B26" s="39">
        <f t="shared" si="8"/>
        <v>39490</v>
      </c>
      <c r="C26" s="40">
        <f t="shared" si="9"/>
        <v>67040</v>
      </c>
      <c r="D26" s="41">
        <f t="shared" si="0"/>
        <v>12285</v>
      </c>
      <c r="E26" s="40">
        <f t="shared" si="10"/>
        <v>54755</v>
      </c>
      <c r="F26" s="42">
        <f t="shared" si="1"/>
        <v>67040</v>
      </c>
      <c r="G26" s="41">
        <f t="shared" si="2"/>
        <v>6142</v>
      </c>
      <c r="H26" s="40">
        <f t="shared" si="11"/>
        <v>60898</v>
      </c>
      <c r="I26" s="43">
        <v>0</v>
      </c>
      <c r="J26" s="43">
        <f t="shared" si="3"/>
        <v>67040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J23"/>
  <sheetViews>
    <sheetView topLeftCell="A16" workbookViewId="0">
      <selection activeCell="J5" sqref="J5"/>
    </sheetView>
  </sheetViews>
  <sheetFormatPr defaultRowHeight="15" x14ac:dyDescent="0.25"/>
  <cols>
    <col min="2" max="10" width="14.42578125" customWidth="1"/>
  </cols>
  <sheetData>
    <row r="1" spans="1:10" ht="23.25" x14ac:dyDescent="0.35">
      <c r="A1" s="47" t="s">
        <v>18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12</v>
      </c>
      <c r="B5" s="28">
        <v>31260</v>
      </c>
      <c r="C5" s="29">
        <v>52250</v>
      </c>
      <c r="D5" s="28">
        <f>C5-E5</f>
        <v>7693</v>
      </c>
      <c r="E5" s="29">
        <v>44557</v>
      </c>
      <c r="F5" s="30">
        <f>C5</f>
        <v>52250</v>
      </c>
      <c r="G5" s="28">
        <f>F5-H5+1</f>
        <v>3847</v>
      </c>
      <c r="H5" s="29">
        <v>48404</v>
      </c>
      <c r="I5" s="31">
        <v>0</v>
      </c>
      <c r="J5" s="31">
        <f>F5</f>
        <v>52250</v>
      </c>
    </row>
    <row r="6" spans="1:10" x14ac:dyDescent="0.25">
      <c r="A6" s="32">
        <v>13</v>
      </c>
      <c r="B6" s="33">
        <v>31610</v>
      </c>
      <c r="C6" s="34">
        <f>C5+630</f>
        <v>52880</v>
      </c>
      <c r="D6" s="35">
        <f t="shared" ref="D6:D23" si="0">C6-E6</f>
        <v>7889</v>
      </c>
      <c r="E6" s="34">
        <v>44991</v>
      </c>
      <c r="F6" s="36">
        <f t="shared" ref="F6:F23" si="1">C6</f>
        <v>52880</v>
      </c>
      <c r="G6" s="35">
        <f>F6-H6+1</f>
        <v>3945</v>
      </c>
      <c r="H6" s="34">
        <v>48936</v>
      </c>
      <c r="I6" s="37">
        <v>0</v>
      </c>
      <c r="J6" s="37">
        <f t="shared" ref="J6:J23" si="2">F6</f>
        <v>52880</v>
      </c>
    </row>
    <row r="7" spans="1:10" x14ac:dyDescent="0.25">
      <c r="A7" s="32">
        <v>14</v>
      </c>
      <c r="B7" s="33">
        <f>B6+350</f>
        <v>31960</v>
      </c>
      <c r="C7" s="34">
        <f t="shared" ref="C7:C11" si="3">C6+630</f>
        <v>53510</v>
      </c>
      <c r="D7" s="35">
        <f t="shared" si="0"/>
        <v>8085</v>
      </c>
      <c r="E7" s="34">
        <f>E6+434</f>
        <v>45425</v>
      </c>
      <c r="F7" s="36">
        <f t="shared" si="1"/>
        <v>53510</v>
      </c>
      <c r="G7" s="35">
        <f t="shared" ref="G7:G23" si="4">F7-H7+1</f>
        <v>4043</v>
      </c>
      <c r="H7" s="34">
        <f>H6+532</f>
        <v>49468</v>
      </c>
      <c r="I7" s="37">
        <v>0</v>
      </c>
      <c r="J7" s="37">
        <f t="shared" si="2"/>
        <v>53510</v>
      </c>
    </row>
    <row r="8" spans="1:10" x14ac:dyDescent="0.25">
      <c r="A8" s="32">
        <v>15</v>
      </c>
      <c r="B8" s="33">
        <f t="shared" ref="B8:B11" si="5">B7+350</f>
        <v>32310</v>
      </c>
      <c r="C8" s="34">
        <f t="shared" si="3"/>
        <v>54140</v>
      </c>
      <c r="D8" s="35">
        <f t="shared" si="0"/>
        <v>8281</v>
      </c>
      <c r="E8" s="34">
        <f t="shared" ref="E8:E11" si="6">E7+434</f>
        <v>45859</v>
      </c>
      <c r="F8" s="36">
        <f t="shared" si="1"/>
        <v>54140</v>
      </c>
      <c r="G8" s="35">
        <f t="shared" si="4"/>
        <v>4141</v>
      </c>
      <c r="H8" s="34">
        <f t="shared" ref="H8:H11" si="7">H7+532</f>
        <v>50000</v>
      </c>
      <c r="I8" s="37">
        <v>0</v>
      </c>
      <c r="J8" s="37">
        <f t="shared" si="2"/>
        <v>54140</v>
      </c>
    </row>
    <row r="9" spans="1:10" x14ac:dyDescent="0.25">
      <c r="A9" s="32">
        <v>16</v>
      </c>
      <c r="B9" s="33">
        <f t="shared" si="5"/>
        <v>32660</v>
      </c>
      <c r="C9" s="34">
        <f t="shared" si="3"/>
        <v>54770</v>
      </c>
      <c r="D9" s="35">
        <f t="shared" si="0"/>
        <v>8477</v>
      </c>
      <c r="E9" s="34">
        <f t="shared" si="6"/>
        <v>46293</v>
      </c>
      <c r="F9" s="36">
        <f t="shared" si="1"/>
        <v>54770</v>
      </c>
      <c r="G9" s="35">
        <f t="shared" si="4"/>
        <v>4239</v>
      </c>
      <c r="H9" s="34">
        <f t="shared" si="7"/>
        <v>50532</v>
      </c>
      <c r="I9" s="37">
        <v>0</v>
      </c>
      <c r="J9" s="37">
        <f t="shared" si="2"/>
        <v>54770</v>
      </c>
    </row>
    <row r="10" spans="1:10" x14ac:dyDescent="0.25">
      <c r="A10" s="32">
        <v>17</v>
      </c>
      <c r="B10" s="33">
        <f t="shared" si="5"/>
        <v>33010</v>
      </c>
      <c r="C10" s="34">
        <f t="shared" si="3"/>
        <v>55400</v>
      </c>
      <c r="D10" s="35">
        <f t="shared" si="0"/>
        <v>8673</v>
      </c>
      <c r="E10" s="34">
        <f t="shared" si="6"/>
        <v>46727</v>
      </c>
      <c r="F10" s="36">
        <f t="shared" si="1"/>
        <v>55400</v>
      </c>
      <c r="G10" s="35">
        <f t="shared" si="4"/>
        <v>4337</v>
      </c>
      <c r="H10" s="34">
        <f t="shared" si="7"/>
        <v>51064</v>
      </c>
      <c r="I10" s="37">
        <v>0</v>
      </c>
      <c r="J10" s="37">
        <f t="shared" si="2"/>
        <v>55400</v>
      </c>
    </row>
    <row r="11" spans="1:10" x14ac:dyDescent="0.25">
      <c r="A11" s="32">
        <v>18</v>
      </c>
      <c r="B11" s="33">
        <f t="shared" si="5"/>
        <v>33360</v>
      </c>
      <c r="C11" s="34">
        <f t="shared" si="3"/>
        <v>56030</v>
      </c>
      <c r="D11" s="35">
        <f t="shared" si="0"/>
        <v>8869</v>
      </c>
      <c r="E11" s="34">
        <f t="shared" si="6"/>
        <v>47161</v>
      </c>
      <c r="F11" s="36">
        <f t="shared" si="1"/>
        <v>56030</v>
      </c>
      <c r="G11" s="35">
        <f t="shared" si="4"/>
        <v>4435</v>
      </c>
      <c r="H11" s="34">
        <f t="shared" si="7"/>
        <v>51596</v>
      </c>
      <c r="I11" s="37">
        <v>0</v>
      </c>
      <c r="J11" s="37">
        <f t="shared" si="2"/>
        <v>56030</v>
      </c>
    </row>
    <row r="12" spans="1:10" x14ac:dyDescent="0.25">
      <c r="A12" s="32">
        <v>19</v>
      </c>
      <c r="B12" s="33">
        <f>B11+495</f>
        <v>33855</v>
      </c>
      <c r="C12" s="34">
        <f>C11+890</f>
        <v>56920</v>
      </c>
      <c r="D12" s="35">
        <f t="shared" si="0"/>
        <v>9145</v>
      </c>
      <c r="E12" s="34">
        <f>E11+614</f>
        <v>47775</v>
      </c>
      <c r="F12" s="36">
        <f t="shared" si="1"/>
        <v>56920</v>
      </c>
      <c r="G12" s="35">
        <f t="shared" si="4"/>
        <v>4574</v>
      </c>
      <c r="H12" s="34">
        <f>52347</f>
        <v>52347</v>
      </c>
      <c r="I12" s="37">
        <v>0</v>
      </c>
      <c r="J12" s="37">
        <f t="shared" si="2"/>
        <v>56920</v>
      </c>
    </row>
    <row r="13" spans="1:10" x14ac:dyDescent="0.25">
      <c r="A13" s="32">
        <v>20</v>
      </c>
      <c r="B13" s="33">
        <f t="shared" ref="B13:B23" si="8">B12+495</f>
        <v>34350</v>
      </c>
      <c r="C13" s="34">
        <f t="shared" ref="C13:C22" si="9">C12+890</f>
        <v>57810</v>
      </c>
      <c r="D13" s="35">
        <f t="shared" si="0"/>
        <v>9422</v>
      </c>
      <c r="E13" s="34">
        <f>E12+614-1</f>
        <v>48388</v>
      </c>
      <c r="F13" s="36">
        <f t="shared" si="1"/>
        <v>57810</v>
      </c>
      <c r="G13" s="35">
        <f t="shared" si="4"/>
        <v>4712</v>
      </c>
      <c r="H13" s="34">
        <v>53099</v>
      </c>
      <c r="I13" s="37">
        <v>0</v>
      </c>
      <c r="J13" s="37">
        <f t="shared" si="2"/>
        <v>57810</v>
      </c>
    </row>
    <row r="14" spans="1:10" x14ac:dyDescent="0.25">
      <c r="A14" s="32">
        <v>21</v>
      </c>
      <c r="B14" s="33">
        <f t="shared" si="8"/>
        <v>34845</v>
      </c>
      <c r="C14" s="34">
        <f t="shared" si="9"/>
        <v>58700</v>
      </c>
      <c r="D14" s="35">
        <f t="shared" si="0"/>
        <v>9698</v>
      </c>
      <c r="E14" s="34">
        <f t="shared" ref="E14:E22" si="10">E13+614</f>
        <v>49002</v>
      </c>
      <c r="F14" s="36">
        <f t="shared" si="1"/>
        <v>58700</v>
      </c>
      <c r="G14" s="35">
        <f t="shared" si="4"/>
        <v>4850</v>
      </c>
      <c r="H14" s="34">
        <f>H13+752</f>
        <v>53851</v>
      </c>
      <c r="I14" s="37">
        <v>0</v>
      </c>
      <c r="J14" s="37">
        <f t="shared" si="2"/>
        <v>58700</v>
      </c>
    </row>
    <row r="15" spans="1:10" x14ac:dyDescent="0.25">
      <c r="A15" s="32">
        <v>22</v>
      </c>
      <c r="B15" s="33">
        <f t="shared" si="8"/>
        <v>35340</v>
      </c>
      <c r="C15" s="34">
        <f t="shared" si="9"/>
        <v>59590</v>
      </c>
      <c r="D15" s="35">
        <f t="shared" si="0"/>
        <v>9975</v>
      </c>
      <c r="E15" s="34">
        <f>E14+614-1</f>
        <v>49615</v>
      </c>
      <c r="F15" s="36">
        <f t="shared" si="1"/>
        <v>59590</v>
      </c>
      <c r="G15" s="35">
        <f t="shared" si="4"/>
        <v>4988</v>
      </c>
      <c r="H15" s="34">
        <f t="shared" ref="H15:H23" si="11">H14+752</f>
        <v>54603</v>
      </c>
      <c r="I15" s="37">
        <v>0</v>
      </c>
      <c r="J15" s="37">
        <f t="shared" si="2"/>
        <v>59590</v>
      </c>
    </row>
    <row r="16" spans="1:10" x14ac:dyDescent="0.25">
      <c r="A16" s="32">
        <v>23</v>
      </c>
      <c r="B16" s="33">
        <f t="shared" si="8"/>
        <v>35835</v>
      </c>
      <c r="C16" s="34">
        <f t="shared" si="9"/>
        <v>60480</v>
      </c>
      <c r="D16" s="35">
        <f t="shared" si="0"/>
        <v>10251</v>
      </c>
      <c r="E16" s="34">
        <f t="shared" si="10"/>
        <v>50229</v>
      </c>
      <c r="F16" s="36">
        <f t="shared" si="1"/>
        <v>60480</v>
      </c>
      <c r="G16" s="35">
        <f t="shared" si="4"/>
        <v>5127</v>
      </c>
      <c r="H16" s="34">
        <f>H15+752-1</f>
        <v>55354</v>
      </c>
      <c r="I16" s="37">
        <v>0</v>
      </c>
      <c r="J16" s="37">
        <f t="shared" si="2"/>
        <v>60480</v>
      </c>
    </row>
    <row r="17" spans="1:10" x14ac:dyDescent="0.25">
      <c r="A17" s="32">
        <v>24</v>
      </c>
      <c r="B17" s="33">
        <f t="shared" si="8"/>
        <v>36330</v>
      </c>
      <c r="C17" s="34">
        <f t="shared" si="9"/>
        <v>61370</v>
      </c>
      <c r="D17" s="35">
        <f t="shared" si="0"/>
        <v>10528</v>
      </c>
      <c r="E17" s="34">
        <f>E16+614-1</f>
        <v>50842</v>
      </c>
      <c r="F17" s="36">
        <f t="shared" si="1"/>
        <v>61370</v>
      </c>
      <c r="G17" s="35">
        <f t="shared" si="4"/>
        <v>5265</v>
      </c>
      <c r="H17" s="34">
        <f t="shared" si="11"/>
        <v>56106</v>
      </c>
      <c r="I17" s="37">
        <v>0</v>
      </c>
      <c r="J17" s="37">
        <f t="shared" si="2"/>
        <v>61370</v>
      </c>
    </row>
    <row r="18" spans="1:10" x14ac:dyDescent="0.25">
      <c r="A18" s="32">
        <v>25</v>
      </c>
      <c r="B18" s="33">
        <f t="shared" si="8"/>
        <v>36825</v>
      </c>
      <c r="C18" s="34">
        <f t="shared" si="9"/>
        <v>62260</v>
      </c>
      <c r="D18" s="35">
        <f t="shared" si="0"/>
        <v>10804</v>
      </c>
      <c r="E18" s="34">
        <f t="shared" si="10"/>
        <v>51456</v>
      </c>
      <c r="F18" s="36">
        <f t="shared" si="1"/>
        <v>62260</v>
      </c>
      <c r="G18" s="35">
        <f t="shared" si="4"/>
        <v>5403</v>
      </c>
      <c r="H18" s="34">
        <f>H17+752</f>
        <v>56858</v>
      </c>
      <c r="I18" s="37">
        <v>0</v>
      </c>
      <c r="J18" s="37">
        <f t="shared" si="2"/>
        <v>62260</v>
      </c>
    </row>
    <row r="19" spans="1:10" x14ac:dyDescent="0.25">
      <c r="A19" s="32">
        <v>26</v>
      </c>
      <c r="B19" s="33">
        <f t="shared" si="8"/>
        <v>37320</v>
      </c>
      <c r="C19" s="34">
        <f t="shared" si="9"/>
        <v>63150</v>
      </c>
      <c r="D19" s="35">
        <f t="shared" si="0"/>
        <v>11081</v>
      </c>
      <c r="E19" s="34">
        <f>E18+614-1</f>
        <v>52069</v>
      </c>
      <c r="F19" s="36">
        <f t="shared" si="1"/>
        <v>63150</v>
      </c>
      <c r="G19" s="35">
        <f t="shared" si="4"/>
        <v>5541</v>
      </c>
      <c r="H19" s="34">
        <f t="shared" si="11"/>
        <v>57610</v>
      </c>
      <c r="I19" s="37">
        <v>0</v>
      </c>
      <c r="J19" s="37">
        <f t="shared" si="2"/>
        <v>63150</v>
      </c>
    </row>
    <row r="20" spans="1:10" x14ac:dyDescent="0.25">
      <c r="A20" s="32">
        <v>27</v>
      </c>
      <c r="B20" s="33">
        <f t="shared" si="8"/>
        <v>37815</v>
      </c>
      <c r="C20" s="34">
        <f t="shared" si="9"/>
        <v>64040</v>
      </c>
      <c r="D20" s="35">
        <f t="shared" si="0"/>
        <v>11357</v>
      </c>
      <c r="E20" s="34">
        <f t="shared" si="10"/>
        <v>52683</v>
      </c>
      <c r="F20" s="36">
        <f t="shared" si="1"/>
        <v>64040</v>
      </c>
      <c r="G20" s="35">
        <f t="shared" si="4"/>
        <v>5680</v>
      </c>
      <c r="H20" s="34">
        <f>H19+752-1</f>
        <v>58361</v>
      </c>
      <c r="I20" s="37">
        <v>0</v>
      </c>
      <c r="J20" s="37">
        <f t="shared" si="2"/>
        <v>64040</v>
      </c>
    </row>
    <row r="21" spans="1:10" x14ac:dyDescent="0.25">
      <c r="A21" s="32">
        <v>28</v>
      </c>
      <c r="B21" s="33">
        <f t="shared" si="8"/>
        <v>38310</v>
      </c>
      <c r="C21" s="34">
        <f t="shared" si="9"/>
        <v>64930</v>
      </c>
      <c r="D21" s="35">
        <f t="shared" si="0"/>
        <v>11634</v>
      </c>
      <c r="E21" s="34">
        <f>E20+614-1</f>
        <v>53296</v>
      </c>
      <c r="F21" s="36">
        <f t="shared" si="1"/>
        <v>64930</v>
      </c>
      <c r="G21" s="35">
        <f t="shared" si="4"/>
        <v>5818</v>
      </c>
      <c r="H21" s="34">
        <f t="shared" si="11"/>
        <v>59113</v>
      </c>
      <c r="I21" s="37">
        <v>0</v>
      </c>
      <c r="J21" s="37">
        <f t="shared" si="2"/>
        <v>64930</v>
      </c>
    </row>
    <row r="22" spans="1:10" x14ac:dyDescent="0.25">
      <c r="A22" s="32">
        <v>29</v>
      </c>
      <c r="B22" s="33">
        <f t="shared" si="8"/>
        <v>38805</v>
      </c>
      <c r="C22" s="34">
        <f t="shared" si="9"/>
        <v>65820</v>
      </c>
      <c r="D22" s="35">
        <f t="shared" si="0"/>
        <v>11910</v>
      </c>
      <c r="E22" s="34">
        <f t="shared" si="10"/>
        <v>53910</v>
      </c>
      <c r="F22" s="36">
        <f t="shared" si="1"/>
        <v>65820</v>
      </c>
      <c r="G22" s="35">
        <f t="shared" si="4"/>
        <v>5956</v>
      </c>
      <c r="H22" s="34">
        <f t="shared" si="11"/>
        <v>59865</v>
      </c>
      <c r="I22" s="37">
        <v>0</v>
      </c>
      <c r="J22" s="37">
        <f t="shared" si="2"/>
        <v>65820</v>
      </c>
    </row>
    <row r="23" spans="1:10" ht="15.75" thickBot="1" x14ac:dyDescent="0.3">
      <c r="A23" s="38">
        <v>30</v>
      </c>
      <c r="B23" s="39">
        <f t="shared" si="8"/>
        <v>39300</v>
      </c>
      <c r="C23" s="40">
        <f>C22+890</f>
        <v>66710</v>
      </c>
      <c r="D23" s="41">
        <f t="shared" si="0"/>
        <v>12187</v>
      </c>
      <c r="E23" s="40">
        <f>E22+614-1</f>
        <v>54523</v>
      </c>
      <c r="F23" s="42">
        <f t="shared" si="1"/>
        <v>66710</v>
      </c>
      <c r="G23" s="40">
        <f t="shared" si="4"/>
        <v>6094</v>
      </c>
      <c r="H23" s="40">
        <f t="shared" si="11"/>
        <v>60617</v>
      </c>
      <c r="I23" s="43">
        <v>0</v>
      </c>
      <c r="J23" s="43">
        <f t="shared" si="2"/>
        <v>66710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B3F0"/>
  </sheetPr>
  <dimension ref="A1:J23"/>
  <sheetViews>
    <sheetView topLeftCell="A4" workbookViewId="0">
      <selection activeCell="C5" sqref="C5"/>
    </sheetView>
  </sheetViews>
  <sheetFormatPr defaultRowHeight="15" x14ac:dyDescent="0.25"/>
  <cols>
    <col min="2" max="10" width="13.140625" customWidth="1"/>
  </cols>
  <sheetData>
    <row r="1" spans="1:10" ht="23.25" x14ac:dyDescent="0.35">
      <c r="A1" s="47" t="s">
        <v>19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</v>
      </c>
      <c r="B5" s="28">
        <v>30310</v>
      </c>
      <c r="C5" s="29">
        <v>50540</v>
      </c>
      <c r="D5" s="28">
        <f>C5-E5</f>
        <v>7161</v>
      </c>
      <c r="E5" s="29">
        <v>43379</v>
      </c>
      <c r="F5" s="30">
        <f>C5</f>
        <v>50540</v>
      </c>
      <c r="G5" s="28">
        <f>F5-H5+1</f>
        <v>3581</v>
      </c>
      <c r="H5" s="29">
        <v>46960</v>
      </c>
      <c r="I5" s="31">
        <v>0</v>
      </c>
      <c r="J5" s="31">
        <f>F5</f>
        <v>50540</v>
      </c>
    </row>
    <row r="6" spans="1:10" x14ac:dyDescent="0.25">
      <c r="A6" s="32">
        <v>2</v>
      </c>
      <c r="B6" s="33">
        <f>B5+300</f>
        <v>30610</v>
      </c>
      <c r="C6" s="34">
        <f>C5+540</f>
        <v>51080</v>
      </c>
      <c r="D6" s="35">
        <f t="shared" ref="D6:D23" si="0">C6-E6</f>
        <v>7329</v>
      </c>
      <c r="E6" s="34">
        <v>43751</v>
      </c>
      <c r="F6" s="36">
        <f t="shared" ref="F6:F23" si="1">C6</f>
        <v>51080</v>
      </c>
      <c r="G6" s="35">
        <f t="shared" ref="G6:G23" si="2">F6-H6+1</f>
        <v>3665</v>
      </c>
      <c r="H6" s="34">
        <v>47416</v>
      </c>
      <c r="I6" s="37">
        <v>0</v>
      </c>
      <c r="J6" s="37">
        <f t="shared" ref="J6:J23" si="3">F6</f>
        <v>51080</v>
      </c>
    </row>
    <row r="7" spans="1:10" x14ac:dyDescent="0.25">
      <c r="A7" s="32">
        <v>3</v>
      </c>
      <c r="B7" s="33">
        <f t="shared" ref="B7:B23" si="4">B6+300</f>
        <v>30910</v>
      </c>
      <c r="C7" s="34">
        <f t="shared" ref="C7:C23" si="5">C6+540</f>
        <v>51620</v>
      </c>
      <c r="D7" s="35">
        <f t="shared" si="0"/>
        <v>7497</v>
      </c>
      <c r="E7" s="34">
        <f>E6+372</f>
        <v>44123</v>
      </c>
      <c r="F7" s="36">
        <f t="shared" si="1"/>
        <v>51620</v>
      </c>
      <c r="G7" s="35">
        <f t="shared" si="2"/>
        <v>3749</v>
      </c>
      <c r="H7" s="34">
        <f>H6+456</f>
        <v>47872</v>
      </c>
      <c r="I7" s="37">
        <v>0</v>
      </c>
      <c r="J7" s="37">
        <f t="shared" si="3"/>
        <v>51620</v>
      </c>
    </row>
    <row r="8" spans="1:10" x14ac:dyDescent="0.25">
      <c r="A8" s="32">
        <v>4</v>
      </c>
      <c r="B8" s="33">
        <f t="shared" si="4"/>
        <v>31210</v>
      </c>
      <c r="C8" s="34">
        <f t="shared" si="5"/>
        <v>52160</v>
      </c>
      <c r="D8" s="35">
        <f t="shared" si="0"/>
        <v>7665</v>
      </c>
      <c r="E8" s="34">
        <f t="shared" ref="E8:E23" si="6">E7+372</f>
        <v>44495</v>
      </c>
      <c r="F8" s="36">
        <f t="shared" si="1"/>
        <v>52160</v>
      </c>
      <c r="G8" s="35">
        <f t="shared" si="2"/>
        <v>3833</v>
      </c>
      <c r="H8" s="34">
        <f t="shared" ref="H8:H23" si="7">H7+456</f>
        <v>48328</v>
      </c>
      <c r="I8" s="37">
        <v>0</v>
      </c>
      <c r="J8" s="37">
        <f t="shared" si="3"/>
        <v>52160</v>
      </c>
    </row>
    <row r="9" spans="1:10" x14ac:dyDescent="0.25">
      <c r="A9" s="32">
        <v>5</v>
      </c>
      <c r="B9" s="33">
        <f t="shared" si="4"/>
        <v>31510</v>
      </c>
      <c r="C9" s="34">
        <f t="shared" si="5"/>
        <v>52700</v>
      </c>
      <c r="D9" s="35">
        <f t="shared" si="0"/>
        <v>7833</v>
      </c>
      <c r="E9" s="34">
        <f t="shared" si="6"/>
        <v>44867</v>
      </c>
      <c r="F9" s="36">
        <f t="shared" si="1"/>
        <v>52700</v>
      </c>
      <c r="G9" s="35">
        <f t="shared" si="2"/>
        <v>3917</v>
      </c>
      <c r="H9" s="34">
        <f t="shared" si="7"/>
        <v>48784</v>
      </c>
      <c r="I9" s="37">
        <v>0</v>
      </c>
      <c r="J9" s="37">
        <f t="shared" si="3"/>
        <v>52700</v>
      </c>
    </row>
    <row r="10" spans="1:10" x14ac:dyDescent="0.25">
      <c r="A10" s="32">
        <v>6</v>
      </c>
      <c r="B10" s="33">
        <f t="shared" si="4"/>
        <v>31810</v>
      </c>
      <c r="C10" s="34">
        <f t="shared" si="5"/>
        <v>53240</v>
      </c>
      <c r="D10" s="35">
        <f t="shared" si="0"/>
        <v>8001</v>
      </c>
      <c r="E10" s="34">
        <f t="shared" si="6"/>
        <v>45239</v>
      </c>
      <c r="F10" s="36">
        <f t="shared" si="1"/>
        <v>53240</v>
      </c>
      <c r="G10" s="35">
        <f t="shared" si="2"/>
        <v>4001</v>
      </c>
      <c r="H10" s="34">
        <f t="shared" si="7"/>
        <v>49240</v>
      </c>
      <c r="I10" s="37">
        <v>0</v>
      </c>
      <c r="J10" s="37">
        <f t="shared" si="3"/>
        <v>53240</v>
      </c>
    </row>
    <row r="11" spans="1:10" x14ac:dyDescent="0.25">
      <c r="A11" s="32">
        <v>7</v>
      </c>
      <c r="B11" s="33">
        <f t="shared" si="4"/>
        <v>32110</v>
      </c>
      <c r="C11" s="34">
        <f t="shared" si="5"/>
        <v>53780</v>
      </c>
      <c r="D11" s="35">
        <f t="shared" si="0"/>
        <v>8169</v>
      </c>
      <c r="E11" s="34">
        <f t="shared" si="6"/>
        <v>45611</v>
      </c>
      <c r="F11" s="36">
        <f t="shared" si="1"/>
        <v>53780</v>
      </c>
      <c r="G11" s="35">
        <f t="shared" si="2"/>
        <v>4085</v>
      </c>
      <c r="H11" s="34">
        <f t="shared" si="7"/>
        <v>49696</v>
      </c>
      <c r="I11" s="37">
        <v>0</v>
      </c>
      <c r="J11" s="37">
        <f t="shared" si="3"/>
        <v>53780</v>
      </c>
    </row>
    <row r="12" spans="1:10" x14ac:dyDescent="0.25">
      <c r="A12" s="32">
        <v>8</v>
      </c>
      <c r="B12" s="33">
        <f t="shared" si="4"/>
        <v>32410</v>
      </c>
      <c r="C12" s="34">
        <f t="shared" si="5"/>
        <v>54320</v>
      </c>
      <c r="D12" s="35">
        <f t="shared" si="0"/>
        <v>8337</v>
      </c>
      <c r="E12" s="34">
        <f t="shared" si="6"/>
        <v>45983</v>
      </c>
      <c r="F12" s="36">
        <f t="shared" si="1"/>
        <v>54320</v>
      </c>
      <c r="G12" s="35">
        <f t="shared" si="2"/>
        <v>4169</v>
      </c>
      <c r="H12" s="34">
        <f t="shared" si="7"/>
        <v>50152</v>
      </c>
      <c r="I12" s="37">
        <v>0</v>
      </c>
      <c r="J12" s="37">
        <f t="shared" si="3"/>
        <v>54320</v>
      </c>
    </row>
    <row r="13" spans="1:10" x14ac:dyDescent="0.25">
      <c r="A13" s="32">
        <v>9</v>
      </c>
      <c r="B13" s="33">
        <f t="shared" si="4"/>
        <v>32710</v>
      </c>
      <c r="C13" s="34">
        <f t="shared" si="5"/>
        <v>54860</v>
      </c>
      <c r="D13" s="35">
        <f t="shared" si="0"/>
        <v>8505</v>
      </c>
      <c r="E13" s="34">
        <f t="shared" si="6"/>
        <v>46355</v>
      </c>
      <c r="F13" s="36">
        <f t="shared" si="1"/>
        <v>54860</v>
      </c>
      <c r="G13" s="35">
        <f t="shared" si="2"/>
        <v>4253</v>
      </c>
      <c r="H13" s="34">
        <f t="shared" si="7"/>
        <v>50608</v>
      </c>
      <c r="I13" s="37">
        <v>0</v>
      </c>
      <c r="J13" s="37">
        <f t="shared" si="3"/>
        <v>54860</v>
      </c>
    </row>
    <row r="14" spans="1:10" x14ac:dyDescent="0.25">
      <c r="A14" s="32">
        <v>10</v>
      </c>
      <c r="B14" s="33">
        <f t="shared" si="4"/>
        <v>33010</v>
      </c>
      <c r="C14" s="34">
        <f t="shared" si="5"/>
        <v>55400</v>
      </c>
      <c r="D14" s="35">
        <f t="shared" si="0"/>
        <v>8673</v>
      </c>
      <c r="E14" s="34">
        <f t="shared" si="6"/>
        <v>46727</v>
      </c>
      <c r="F14" s="36">
        <f t="shared" si="1"/>
        <v>55400</v>
      </c>
      <c r="G14" s="35">
        <f t="shared" si="2"/>
        <v>4337</v>
      </c>
      <c r="H14" s="34">
        <f t="shared" si="7"/>
        <v>51064</v>
      </c>
      <c r="I14" s="37">
        <v>0</v>
      </c>
      <c r="J14" s="37">
        <f t="shared" si="3"/>
        <v>55400</v>
      </c>
    </row>
    <row r="15" spans="1:10" x14ac:dyDescent="0.25">
      <c r="A15" s="32">
        <v>11</v>
      </c>
      <c r="B15" s="33">
        <f t="shared" si="4"/>
        <v>33310</v>
      </c>
      <c r="C15" s="34">
        <f t="shared" si="5"/>
        <v>55940</v>
      </c>
      <c r="D15" s="35">
        <f t="shared" si="0"/>
        <v>8841</v>
      </c>
      <c r="E15" s="34">
        <f t="shared" si="6"/>
        <v>47099</v>
      </c>
      <c r="F15" s="36">
        <f t="shared" si="1"/>
        <v>55940</v>
      </c>
      <c r="G15" s="35">
        <f t="shared" si="2"/>
        <v>4421</v>
      </c>
      <c r="H15" s="34">
        <f t="shared" si="7"/>
        <v>51520</v>
      </c>
      <c r="I15" s="37">
        <v>0</v>
      </c>
      <c r="J15" s="37">
        <f t="shared" si="3"/>
        <v>55940</v>
      </c>
    </row>
    <row r="16" spans="1:10" x14ac:dyDescent="0.25">
      <c r="A16" s="32">
        <v>12</v>
      </c>
      <c r="B16" s="33">
        <f t="shared" si="4"/>
        <v>33610</v>
      </c>
      <c r="C16" s="34">
        <f t="shared" si="5"/>
        <v>56480</v>
      </c>
      <c r="D16" s="35">
        <f t="shared" si="0"/>
        <v>9009</v>
      </c>
      <c r="E16" s="34">
        <f t="shared" si="6"/>
        <v>47471</v>
      </c>
      <c r="F16" s="36">
        <f t="shared" si="1"/>
        <v>56480</v>
      </c>
      <c r="G16" s="35">
        <f t="shared" si="2"/>
        <v>4505</v>
      </c>
      <c r="H16" s="34">
        <f t="shared" si="7"/>
        <v>51976</v>
      </c>
      <c r="I16" s="37">
        <v>0</v>
      </c>
      <c r="J16" s="37">
        <f t="shared" si="3"/>
        <v>56480</v>
      </c>
    </row>
    <row r="17" spans="1:10" x14ac:dyDescent="0.25">
      <c r="A17" s="32">
        <v>13</v>
      </c>
      <c r="B17" s="33">
        <f t="shared" si="4"/>
        <v>33910</v>
      </c>
      <c r="C17" s="34">
        <f t="shared" si="5"/>
        <v>57020</v>
      </c>
      <c r="D17" s="35">
        <f t="shared" si="0"/>
        <v>9177</v>
      </c>
      <c r="E17" s="34">
        <f t="shared" si="6"/>
        <v>47843</v>
      </c>
      <c r="F17" s="36">
        <f t="shared" si="1"/>
        <v>57020</v>
      </c>
      <c r="G17" s="35">
        <f t="shared" si="2"/>
        <v>4589</v>
      </c>
      <c r="H17" s="34">
        <f t="shared" si="7"/>
        <v>52432</v>
      </c>
      <c r="I17" s="37">
        <v>0</v>
      </c>
      <c r="J17" s="37">
        <f t="shared" si="3"/>
        <v>57020</v>
      </c>
    </row>
    <row r="18" spans="1:10" x14ac:dyDescent="0.25">
      <c r="A18" s="32">
        <v>14</v>
      </c>
      <c r="B18" s="33">
        <f t="shared" si="4"/>
        <v>34210</v>
      </c>
      <c r="C18" s="34">
        <f t="shared" si="5"/>
        <v>57560</v>
      </c>
      <c r="D18" s="35">
        <f t="shared" si="0"/>
        <v>9345</v>
      </c>
      <c r="E18" s="34">
        <f t="shared" si="6"/>
        <v>48215</v>
      </c>
      <c r="F18" s="36">
        <f t="shared" si="1"/>
        <v>57560</v>
      </c>
      <c r="G18" s="35">
        <f t="shared" si="2"/>
        <v>4673</v>
      </c>
      <c r="H18" s="34">
        <f t="shared" si="7"/>
        <v>52888</v>
      </c>
      <c r="I18" s="37">
        <v>0</v>
      </c>
      <c r="J18" s="37">
        <f t="shared" si="3"/>
        <v>57560</v>
      </c>
    </row>
    <row r="19" spans="1:10" x14ac:dyDescent="0.25">
      <c r="A19" s="32">
        <v>15</v>
      </c>
      <c r="B19" s="33">
        <f t="shared" si="4"/>
        <v>34510</v>
      </c>
      <c r="C19" s="34">
        <f t="shared" si="5"/>
        <v>58100</v>
      </c>
      <c r="D19" s="35">
        <f t="shared" si="0"/>
        <v>9513</v>
      </c>
      <c r="E19" s="34">
        <f t="shared" si="6"/>
        <v>48587</v>
      </c>
      <c r="F19" s="36">
        <f t="shared" si="1"/>
        <v>58100</v>
      </c>
      <c r="G19" s="35">
        <f t="shared" si="2"/>
        <v>4757</v>
      </c>
      <c r="H19" s="34">
        <f t="shared" si="7"/>
        <v>53344</v>
      </c>
      <c r="I19" s="37">
        <v>0</v>
      </c>
      <c r="J19" s="37">
        <f t="shared" si="3"/>
        <v>58100</v>
      </c>
    </row>
    <row r="20" spans="1:10" x14ac:dyDescent="0.25">
      <c r="A20" s="32">
        <v>16</v>
      </c>
      <c r="B20" s="33">
        <f t="shared" si="4"/>
        <v>34810</v>
      </c>
      <c r="C20" s="34">
        <f t="shared" si="5"/>
        <v>58640</v>
      </c>
      <c r="D20" s="35">
        <f t="shared" si="0"/>
        <v>9681</v>
      </c>
      <c r="E20" s="34">
        <f t="shared" si="6"/>
        <v>48959</v>
      </c>
      <c r="F20" s="36">
        <f t="shared" si="1"/>
        <v>58640</v>
      </c>
      <c r="G20" s="35">
        <f t="shared" si="2"/>
        <v>4841</v>
      </c>
      <c r="H20" s="34">
        <f t="shared" si="7"/>
        <v>53800</v>
      </c>
      <c r="I20" s="37">
        <v>0</v>
      </c>
      <c r="J20" s="37">
        <f t="shared" si="3"/>
        <v>58640</v>
      </c>
    </row>
    <row r="21" spans="1:10" x14ac:dyDescent="0.25">
      <c r="A21" s="32">
        <v>17</v>
      </c>
      <c r="B21" s="33">
        <f t="shared" si="4"/>
        <v>35110</v>
      </c>
      <c r="C21" s="34">
        <f t="shared" si="5"/>
        <v>59180</v>
      </c>
      <c r="D21" s="35">
        <f t="shared" si="0"/>
        <v>9849</v>
      </c>
      <c r="E21" s="34">
        <f t="shared" si="6"/>
        <v>49331</v>
      </c>
      <c r="F21" s="36">
        <f t="shared" si="1"/>
        <v>59180</v>
      </c>
      <c r="G21" s="35">
        <f t="shared" si="2"/>
        <v>4925</v>
      </c>
      <c r="H21" s="34">
        <f t="shared" si="7"/>
        <v>54256</v>
      </c>
      <c r="I21" s="37">
        <v>0</v>
      </c>
      <c r="J21" s="37">
        <f t="shared" si="3"/>
        <v>59180</v>
      </c>
    </row>
    <row r="22" spans="1:10" x14ac:dyDescent="0.25">
      <c r="A22" s="32">
        <v>18</v>
      </c>
      <c r="B22" s="33">
        <f t="shared" si="4"/>
        <v>35410</v>
      </c>
      <c r="C22" s="34">
        <f t="shared" si="5"/>
        <v>59720</v>
      </c>
      <c r="D22" s="35">
        <f t="shared" si="0"/>
        <v>10017</v>
      </c>
      <c r="E22" s="34">
        <f t="shared" si="6"/>
        <v>49703</v>
      </c>
      <c r="F22" s="36">
        <f t="shared" si="1"/>
        <v>59720</v>
      </c>
      <c r="G22" s="35">
        <f t="shared" si="2"/>
        <v>5009</v>
      </c>
      <c r="H22" s="34">
        <f t="shared" si="7"/>
        <v>54712</v>
      </c>
      <c r="I22" s="37">
        <v>0</v>
      </c>
      <c r="J22" s="37">
        <f t="shared" si="3"/>
        <v>59720</v>
      </c>
    </row>
    <row r="23" spans="1:10" ht="15.75" thickBot="1" x14ac:dyDescent="0.3">
      <c r="A23" s="38">
        <v>19</v>
      </c>
      <c r="B23" s="39">
        <f t="shared" si="4"/>
        <v>35710</v>
      </c>
      <c r="C23" s="40">
        <f t="shared" si="5"/>
        <v>60260</v>
      </c>
      <c r="D23" s="41">
        <f t="shared" si="0"/>
        <v>10185</v>
      </c>
      <c r="E23" s="40">
        <f t="shared" si="6"/>
        <v>50075</v>
      </c>
      <c r="F23" s="42">
        <f t="shared" si="1"/>
        <v>60260</v>
      </c>
      <c r="G23" s="41">
        <f t="shared" si="2"/>
        <v>5093</v>
      </c>
      <c r="H23" s="40">
        <f t="shared" si="7"/>
        <v>55168</v>
      </c>
      <c r="I23" s="43">
        <v>0</v>
      </c>
      <c r="J23" s="43">
        <f t="shared" si="3"/>
        <v>60260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B3F0"/>
  </sheetPr>
  <dimension ref="A1:J23"/>
  <sheetViews>
    <sheetView topLeftCell="A4" workbookViewId="0">
      <selection activeCell="J23" sqref="J23"/>
    </sheetView>
  </sheetViews>
  <sheetFormatPr defaultRowHeight="15" x14ac:dyDescent="0.25"/>
  <cols>
    <col min="2" max="10" width="13.140625" customWidth="1"/>
  </cols>
  <sheetData>
    <row r="1" spans="1:10" ht="23.25" x14ac:dyDescent="0.35">
      <c r="A1" s="47" t="s">
        <v>20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12</v>
      </c>
      <c r="B5" s="28">
        <v>33660</v>
      </c>
      <c r="C5" s="29">
        <v>56570</v>
      </c>
      <c r="D5" s="28">
        <f>C5-E5</f>
        <v>9037</v>
      </c>
      <c r="E5" s="29">
        <v>47533</v>
      </c>
      <c r="F5" s="30">
        <f>C5</f>
        <v>56570</v>
      </c>
      <c r="G5" s="28">
        <f>F5-H5+1</f>
        <v>4519</v>
      </c>
      <c r="H5" s="29">
        <v>52052</v>
      </c>
      <c r="I5" s="31">
        <v>0</v>
      </c>
      <c r="J5" s="31">
        <f>F5</f>
        <v>56570</v>
      </c>
    </row>
    <row r="6" spans="1:10" x14ac:dyDescent="0.25">
      <c r="A6" s="32">
        <v>13</v>
      </c>
      <c r="B6" s="33">
        <v>34010</v>
      </c>
      <c r="C6" s="34">
        <f>C5+630</f>
        <v>57200</v>
      </c>
      <c r="D6" s="35">
        <f t="shared" ref="D6:D23" si="0">C6-E6</f>
        <v>9233</v>
      </c>
      <c r="E6" s="34">
        <v>47967</v>
      </c>
      <c r="F6" s="36">
        <f t="shared" ref="F6:F23" si="1">C6</f>
        <v>57200</v>
      </c>
      <c r="G6" s="35">
        <f t="shared" ref="G6:G23" si="2">F6-H6+1</f>
        <v>4617</v>
      </c>
      <c r="H6" s="34">
        <v>52584</v>
      </c>
      <c r="I6" s="37">
        <v>0</v>
      </c>
      <c r="J6" s="37">
        <f t="shared" ref="J6:J23" si="3">F6</f>
        <v>57200</v>
      </c>
    </row>
    <row r="7" spans="1:10" x14ac:dyDescent="0.25">
      <c r="A7" s="32">
        <v>14</v>
      </c>
      <c r="B7" s="33">
        <f>B6+350</f>
        <v>34360</v>
      </c>
      <c r="C7" s="34">
        <f t="shared" ref="C7:C11" si="4">C6+630</f>
        <v>57830</v>
      </c>
      <c r="D7" s="35">
        <f t="shared" si="0"/>
        <v>9429</v>
      </c>
      <c r="E7" s="34">
        <f>E6+434</f>
        <v>48401</v>
      </c>
      <c r="F7" s="36">
        <f t="shared" si="1"/>
        <v>57830</v>
      </c>
      <c r="G7" s="35">
        <f t="shared" si="2"/>
        <v>4715</v>
      </c>
      <c r="H7" s="34">
        <f>H6+532</f>
        <v>53116</v>
      </c>
      <c r="I7" s="37">
        <v>0</v>
      </c>
      <c r="J7" s="37">
        <f t="shared" si="3"/>
        <v>57830</v>
      </c>
    </row>
    <row r="8" spans="1:10" x14ac:dyDescent="0.25">
      <c r="A8" s="32">
        <v>15</v>
      </c>
      <c r="B8" s="33">
        <f t="shared" ref="B8:B11" si="5">B7+350</f>
        <v>34710</v>
      </c>
      <c r="C8" s="34">
        <f t="shared" si="4"/>
        <v>58460</v>
      </c>
      <c r="D8" s="35">
        <f t="shared" si="0"/>
        <v>9625</v>
      </c>
      <c r="E8" s="34">
        <f t="shared" ref="E8:E11" si="6">E7+434</f>
        <v>48835</v>
      </c>
      <c r="F8" s="36">
        <f t="shared" si="1"/>
        <v>58460</v>
      </c>
      <c r="G8" s="35">
        <f t="shared" si="2"/>
        <v>4813</v>
      </c>
      <c r="H8" s="34">
        <f t="shared" ref="H8:H11" si="7">H7+532</f>
        <v>53648</v>
      </c>
      <c r="I8" s="37">
        <v>0</v>
      </c>
      <c r="J8" s="37">
        <f t="shared" si="3"/>
        <v>58460</v>
      </c>
    </row>
    <row r="9" spans="1:10" x14ac:dyDescent="0.25">
      <c r="A9" s="32">
        <v>16</v>
      </c>
      <c r="B9" s="33">
        <f t="shared" si="5"/>
        <v>35060</v>
      </c>
      <c r="C9" s="34">
        <f t="shared" si="4"/>
        <v>59090</v>
      </c>
      <c r="D9" s="35">
        <f t="shared" si="0"/>
        <v>9821</v>
      </c>
      <c r="E9" s="34">
        <f t="shared" si="6"/>
        <v>49269</v>
      </c>
      <c r="F9" s="36">
        <f t="shared" si="1"/>
        <v>59090</v>
      </c>
      <c r="G9" s="35">
        <f t="shared" si="2"/>
        <v>4911</v>
      </c>
      <c r="H9" s="34">
        <f t="shared" si="7"/>
        <v>54180</v>
      </c>
      <c r="I9" s="37">
        <v>0</v>
      </c>
      <c r="J9" s="37">
        <f t="shared" si="3"/>
        <v>59090</v>
      </c>
    </row>
    <row r="10" spans="1:10" x14ac:dyDescent="0.25">
      <c r="A10" s="32">
        <v>17</v>
      </c>
      <c r="B10" s="33">
        <f t="shared" si="5"/>
        <v>35410</v>
      </c>
      <c r="C10" s="34">
        <f t="shared" si="4"/>
        <v>59720</v>
      </c>
      <c r="D10" s="35">
        <f t="shared" si="0"/>
        <v>10017</v>
      </c>
      <c r="E10" s="34">
        <f t="shared" si="6"/>
        <v>49703</v>
      </c>
      <c r="F10" s="36">
        <f t="shared" si="1"/>
        <v>59720</v>
      </c>
      <c r="G10" s="35">
        <f t="shared" si="2"/>
        <v>5009</v>
      </c>
      <c r="H10" s="34">
        <f t="shared" si="7"/>
        <v>54712</v>
      </c>
      <c r="I10" s="37">
        <v>0</v>
      </c>
      <c r="J10" s="37">
        <f t="shared" si="3"/>
        <v>59720</v>
      </c>
    </row>
    <row r="11" spans="1:10" x14ac:dyDescent="0.25">
      <c r="A11" s="32">
        <v>18</v>
      </c>
      <c r="B11" s="33">
        <f t="shared" si="5"/>
        <v>35760</v>
      </c>
      <c r="C11" s="34">
        <f t="shared" si="4"/>
        <v>60350</v>
      </c>
      <c r="D11" s="35">
        <f t="shared" si="0"/>
        <v>10213</v>
      </c>
      <c r="E11" s="34">
        <f t="shared" si="6"/>
        <v>50137</v>
      </c>
      <c r="F11" s="36">
        <f t="shared" si="1"/>
        <v>60350</v>
      </c>
      <c r="G11" s="35">
        <f t="shared" si="2"/>
        <v>5107</v>
      </c>
      <c r="H11" s="34">
        <f t="shared" si="7"/>
        <v>55244</v>
      </c>
      <c r="I11" s="37">
        <v>0</v>
      </c>
      <c r="J11" s="37">
        <f t="shared" si="3"/>
        <v>60350</v>
      </c>
    </row>
    <row r="12" spans="1:10" x14ac:dyDescent="0.25">
      <c r="A12" s="32">
        <v>19</v>
      </c>
      <c r="B12" s="33">
        <f>B11+600</f>
        <v>36360</v>
      </c>
      <c r="C12" s="34">
        <f>61430</f>
        <v>61430</v>
      </c>
      <c r="D12" s="35">
        <f t="shared" si="0"/>
        <v>10549</v>
      </c>
      <c r="E12" s="34">
        <f>E11+744</f>
        <v>50881</v>
      </c>
      <c r="F12" s="36">
        <f t="shared" si="1"/>
        <v>61430</v>
      </c>
      <c r="G12" s="35">
        <f t="shared" si="2"/>
        <v>5275</v>
      </c>
      <c r="H12" s="34">
        <v>56156</v>
      </c>
      <c r="I12" s="37">
        <v>0</v>
      </c>
      <c r="J12" s="37"/>
    </row>
    <row r="13" spans="1:10" x14ac:dyDescent="0.25">
      <c r="A13" s="32">
        <v>20</v>
      </c>
      <c r="B13" s="33">
        <f>36960</f>
        <v>36960</v>
      </c>
      <c r="C13" s="34">
        <f>C12+1080</f>
        <v>62510</v>
      </c>
      <c r="D13" s="35">
        <f t="shared" si="0"/>
        <v>10885</v>
      </c>
      <c r="E13" s="34">
        <f t="shared" ref="E13:E23" si="8">E12+744</f>
        <v>51625</v>
      </c>
      <c r="F13" s="36">
        <f t="shared" si="1"/>
        <v>62510</v>
      </c>
      <c r="G13" s="35">
        <f t="shared" si="2"/>
        <v>5443</v>
      </c>
      <c r="H13" s="34">
        <f>H12+912</f>
        <v>57068</v>
      </c>
      <c r="I13" s="37">
        <v>0</v>
      </c>
      <c r="J13" s="37">
        <f t="shared" si="3"/>
        <v>62510</v>
      </c>
    </row>
    <row r="14" spans="1:10" x14ac:dyDescent="0.25">
      <c r="A14" s="32">
        <v>21</v>
      </c>
      <c r="B14" s="33">
        <v>37560</v>
      </c>
      <c r="C14" s="34">
        <f t="shared" ref="C14:C23" si="9">C13+1080</f>
        <v>63590</v>
      </c>
      <c r="D14" s="35">
        <f t="shared" si="0"/>
        <v>11221</v>
      </c>
      <c r="E14" s="34">
        <f t="shared" si="8"/>
        <v>52369</v>
      </c>
      <c r="F14" s="36">
        <f t="shared" si="1"/>
        <v>63590</v>
      </c>
      <c r="G14" s="35">
        <f t="shared" si="2"/>
        <v>5611</v>
      </c>
      <c r="H14" s="34">
        <f t="shared" ref="H14:H23" si="10">H13+912</f>
        <v>57980</v>
      </c>
      <c r="I14" s="37">
        <v>0</v>
      </c>
      <c r="J14" s="37">
        <f t="shared" si="3"/>
        <v>63590</v>
      </c>
    </row>
    <row r="15" spans="1:10" x14ac:dyDescent="0.25">
      <c r="A15" s="32">
        <v>22</v>
      </c>
      <c r="B15" s="33">
        <f>B14+600</f>
        <v>38160</v>
      </c>
      <c r="C15" s="34">
        <f t="shared" si="9"/>
        <v>64670</v>
      </c>
      <c r="D15" s="35">
        <f t="shared" si="0"/>
        <v>11557</v>
      </c>
      <c r="E15" s="34">
        <f t="shared" si="8"/>
        <v>53113</v>
      </c>
      <c r="F15" s="36">
        <f t="shared" si="1"/>
        <v>64670</v>
      </c>
      <c r="G15" s="35">
        <f t="shared" si="2"/>
        <v>5779</v>
      </c>
      <c r="H15" s="34">
        <f t="shared" si="10"/>
        <v>58892</v>
      </c>
      <c r="I15" s="37">
        <v>0</v>
      </c>
      <c r="J15" s="37">
        <f t="shared" si="3"/>
        <v>64670</v>
      </c>
    </row>
    <row r="16" spans="1:10" x14ac:dyDescent="0.25">
      <c r="A16" s="32">
        <v>23</v>
      </c>
      <c r="B16" s="33">
        <f t="shared" ref="B16:B23" si="11">B15+600</f>
        <v>38760</v>
      </c>
      <c r="C16" s="34">
        <f t="shared" si="9"/>
        <v>65750</v>
      </c>
      <c r="D16" s="35">
        <f t="shared" si="0"/>
        <v>11893</v>
      </c>
      <c r="E16" s="34">
        <f t="shared" si="8"/>
        <v>53857</v>
      </c>
      <c r="F16" s="36">
        <f t="shared" si="1"/>
        <v>65750</v>
      </c>
      <c r="G16" s="35">
        <f t="shared" si="2"/>
        <v>5947</v>
      </c>
      <c r="H16" s="34">
        <f t="shared" si="10"/>
        <v>59804</v>
      </c>
      <c r="I16" s="37">
        <v>0</v>
      </c>
      <c r="J16" s="37">
        <f t="shared" si="3"/>
        <v>65750</v>
      </c>
    </row>
    <row r="17" spans="1:10" x14ac:dyDescent="0.25">
      <c r="A17" s="32">
        <v>24</v>
      </c>
      <c r="B17" s="33">
        <f t="shared" si="11"/>
        <v>39360</v>
      </c>
      <c r="C17" s="34">
        <f t="shared" si="9"/>
        <v>66830</v>
      </c>
      <c r="D17" s="35">
        <f t="shared" si="0"/>
        <v>12229</v>
      </c>
      <c r="E17" s="34">
        <f t="shared" si="8"/>
        <v>54601</v>
      </c>
      <c r="F17" s="36">
        <f t="shared" si="1"/>
        <v>66830</v>
      </c>
      <c r="G17" s="35">
        <f t="shared" si="2"/>
        <v>6115</v>
      </c>
      <c r="H17" s="34">
        <f t="shared" si="10"/>
        <v>60716</v>
      </c>
      <c r="I17" s="37">
        <v>0</v>
      </c>
      <c r="J17" s="37">
        <f t="shared" si="3"/>
        <v>66830</v>
      </c>
    </row>
    <row r="18" spans="1:10" x14ac:dyDescent="0.25">
      <c r="A18" s="32">
        <v>25</v>
      </c>
      <c r="B18" s="33">
        <f t="shared" si="11"/>
        <v>39960</v>
      </c>
      <c r="C18" s="34">
        <f t="shared" si="9"/>
        <v>67910</v>
      </c>
      <c r="D18" s="35">
        <f t="shared" si="0"/>
        <v>12565</v>
      </c>
      <c r="E18" s="34">
        <f t="shared" si="8"/>
        <v>55345</v>
      </c>
      <c r="F18" s="36">
        <f t="shared" si="1"/>
        <v>67910</v>
      </c>
      <c r="G18" s="35">
        <f t="shared" si="2"/>
        <v>6283</v>
      </c>
      <c r="H18" s="34">
        <f t="shared" si="10"/>
        <v>61628</v>
      </c>
      <c r="I18" s="37">
        <v>0</v>
      </c>
      <c r="J18" s="37">
        <f t="shared" si="3"/>
        <v>67910</v>
      </c>
    </row>
    <row r="19" spans="1:10" x14ac:dyDescent="0.25">
      <c r="A19" s="32">
        <v>26</v>
      </c>
      <c r="B19" s="33">
        <f t="shared" si="11"/>
        <v>40560</v>
      </c>
      <c r="C19" s="34">
        <f t="shared" si="9"/>
        <v>68990</v>
      </c>
      <c r="D19" s="35">
        <f t="shared" si="0"/>
        <v>12901</v>
      </c>
      <c r="E19" s="34">
        <f t="shared" si="8"/>
        <v>56089</v>
      </c>
      <c r="F19" s="36">
        <f t="shared" si="1"/>
        <v>68990</v>
      </c>
      <c r="G19" s="35">
        <f t="shared" si="2"/>
        <v>6451</v>
      </c>
      <c r="H19" s="34">
        <f t="shared" si="10"/>
        <v>62540</v>
      </c>
      <c r="I19" s="37">
        <v>0</v>
      </c>
      <c r="J19" s="37">
        <f t="shared" si="3"/>
        <v>68990</v>
      </c>
    </row>
    <row r="20" spans="1:10" x14ac:dyDescent="0.25">
      <c r="A20" s="32">
        <v>27</v>
      </c>
      <c r="B20" s="33">
        <f t="shared" si="11"/>
        <v>41160</v>
      </c>
      <c r="C20" s="34">
        <f t="shared" si="9"/>
        <v>70070</v>
      </c>
      <c r="D20" s="35">
        <f t="shared" si="0"/>
        <v>13237</v>
      </c>
      <c r="E20" s="34">
        <f t="shared" si="8"/>
        <v>56833</v>
      </c>
      <c r="F20" s="36">
        <f t="shared" si="1"/>
        <v>70070</v>
      </c>
      <c r="G20" s="35">
        <f t="shared" si="2"/>
        <v>6619</v>
      </c>
      <c r="H20" s="34">
        <f t="shared" si="10"/>
        <v>63452</v>
      </c>
      <c r="I20" s="37">
        <v>0</v>
      </c>
      <c r="J20" s="37">
        <f t="shared" si="3"/>
        <v>70070</v>
      </c>
    </row>
    <row r="21" spans="1:10" x14ac:dyDescent="0.25">
      <c r="A21" s="32">
        <v>28</v>
      </c>
      <c r="B21" s="33">
        <f t="shared" si="11"/>
        <v>41760</v>
      </c>
      <c r="C21" s="34">
        <f t="shared" si="9"/>
        <v>71150</v>
      </c>
      <c r="D21" s="35">
        <f t="shared" si="0"/>
        <v>13573</v>
      </c>
      <c r="E21" s="34">
        <f t="shared" si="8"/>
        <v>57577</v>
      </c>
      <c r="F21" s="36">
        <f t="shared" si="1"/>
        <v>71150</v>
      </c>
      <c r="G21" s="35">
        <f t="shared" si="2"/>
        <v>6787</v>
      </c>
      <c r="H21" s="34">
        <f t="shared" si="10"/>
        <v>64364</v>
      </c>
      <c r="I21" s="37">
        <v>0</v>
      </c>
      <c r="J21" s="37">
        <f t="shared" si="3"/>
        <v>71150</v>
      </c>
    </row>
    <row r="22" spans="1:10" x14ac:dyDescent="0.25">
      <c r="A22" s="32">
        <v>29</v>
      </c>
      <c r="B22" s="33">
        <f t="shared" si="11"/>
        <v>42360</v>
      </c>
      <c r="C22" s="34">
        <f t="shared" si="9"/>
        <v>72230</v>
      </c>
      <c r="D22" s="35">
        <f t="shared" si="0"/>
        <v>13909</v>
      </c>
      <c r="E22" s="34">
        <f t="shared" si="8"/>
        <v>58321</v>
      </c>
      <c r="F22" s="36">
        <f t="shared" si="1"/>
        <v>72230</v>
      </c>
      <c r="G22" s="35">
        <f t="shared" si="2"/>
        <v>6955</v>
      </c>
      <c r="H22" s="34">
        <f t="shared" si="10"/>
        <v>65276</v>
      </c>
      <c r="I22" s="37">
        <v>0</v>
      </c>
      <c r="J22" s="37">
        <f t="shared" si="3"/>
        <v>72230</v>
      </c>
    </row>
    <row r="23" spans="1:10" ht="15.75" thickBot="1" x14ac:dyDescent="0.3">
      <c r="A23" s="38">
        <v>30</v>
      </c>
      <c r="B23" s="39">
        <f t="shared" si="11"/>
        <v>42960</v>
      </c>
      <c r="C23" s="40">
        <f t="shared" si="9"/>
        <v>73310</v>
      </c>
      <c r="D23" s="41">
        <f t="shared" si="0"/>
        <v>14245</v>
      </c>
      <c r="E23" s="40">
        <f t="shared" si="8"/>
        <v>59065</v>
      </c>
      <c r="F23" s="42">
        <f t="shared" si="1"/>
        <v>73310</v>
      </c>
      <c r="G23" s="41">
        <f t="shared" si="2"/>
        <v>7123</v>
      </c>
      <c r="H23" s="40">
        <f t="shared" si="10"/>
        <v>66188</v>
      </c>
      <c r="I23" s="43">
        <v>0</v>
      </c>
      <c r="J23" s="43">
        <f t="shared" si="3"/>
        <v>73310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B3F0"/>
  </sheetPr>
  <dimension ref="A1:J24"/>
  <sheetViews>
    <sheetView topLeftCell="A10" workbookViewId="0">
      <selection activeCell="B24" sqref="B24"/>
    </sheetView>
  </sheetViews>
  <sheetFormatPr defaultRowHeight="15" x14ac:dyDescent="0.25"/>
  <cols>
    <col min="2" max="10" width="13.42578125" customWidth="1"/>
  </cols>
  <sheetData>
    <row r="1" spans="1:10" ht="23.25" x14ac:dyDescent="0.35">
      <c r="A1" s="47" t="s">
        <v>21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s="2" customFormat="1" ht="49.5" customHeight="1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23</v>
      </c>
      <c r="B5" s="28">
        <v>38870</v>
      </c>
      <c r="C5" s="29">
        <v>65950</v>
      </c>
      <c r="D5" s="28">
        <f>C5-E5</f>
        <v>11956</v>
      </c>
      <c r="E5" s="29">
        <v>53994</v>
      </c>
      <c r="F5" s="30">
        <f>C5</f>
        <v>65950</v>
      </c>
      <c r="G5" s="28">
        <f>F5-H5</f>
        <v>5978</v>
      </c>
      <c r="H5" s="29">
        <v>59972</v>
      </c>
      <c r="I5" s="31">
        <v>0</v>
      </c>
      <c r="J5" s="31">
        <f>F5</f>
        <v>65950</v>
      </c>
    </row>
    <row r="6" spans="1:10" x14ac:dyDescent="0.25">
      <c r="A6" s="32">
        <v>24</v>
      </c>
      <c r="B6" s="33">
        <v>39580</v>
      </c>
      <c r="C6" s="34">
        <f>C5+1280</f>
        <v>67230</v>
      </c>
      <c r="D6" s="35">
        <f t="shared" ref="D6:D24" si="0">C6-E6</f>
        <v>12355</v>
      </c>
      <c r="E6" s="34">
        <v>54875</v>
      </c>
      <c r="F6" s="36">
        <f t="shared" ref="F6:F24" si="1">C6</f>
        <v>67230</v>
      </c>
      <c r="G6" s="35">
        <f t="shared" ref="G6:G24" si="2">F6-H6+1</f>
        <v>6178</v>
      </c>
      <c r="H6" s="34">
        <v>61053</v>
      </c>
      <c r="I6" s="37">
        <v>0</v>
      </c>
      <c r="J6" s="37">
        <f t="shared" ref="J6:J24" si="3">F6</f>
        <v>67230</v>
      </c>
    </row>
    <row r="7" spans="1:10" x14ac:dyDescent="0.25">
      <c r="A7" s="32">
        <v>25</v>
      </c>
      <c r="B7" s="33">
        <f>B6+710</f>
        <v>40290</v>
      </c>
      <c r="C7" s="34">
        <f t="shared" ref="C7:C24" si="4">C6+1280</f>
        <v>68510</v>
      </c>
      <c r="D7" s="35">
        <f t="shared" si="0"/>
        <v>12754</v>
      </c>
      <c r="E7" s="34">
        <f>E6+881</f>
        <v>55756</v>
      </c>
      <c r="F7" s="36">
        <f t="shared" si="1"/>
        <v>68510</v>
      </c>
      <c r="G7" s="35">
        <f>F7-H7</f>
        <v>6377</v>
      </c>
      <c r="H7" s="34">
        <f>H6+1080</f>
        <v>62133</v>
      </c>
      <c r="I7" s="37">
        <v>0</v>
      </c>
      <c r="J7" s="37">
        <f t="shared" si="3"/>
        <v>68510</v>
      </c>
    </row>
    <row r="8" spans="1:10" x14ac:dyDescent="0.25">
      <c r="A8" s="32">
        <v>26</v>
      </c>
      <c r="B8" s="33">
        <f t="shared" ref="B8:B24" si="5">B7+710</f>
        <v>41000</v>
      </c>
      <c r="C8" s="34">
        <f t="shared" si="4"/>
        <v>69790</v>
      </c>
      <c r="D8" s="35">
        <f t="shared" si="0"/>
        <v>13153</v>
      </c>
      <c r="E8" s="34">
        <f t="shared" ref="E8:E24" si="6">E7+881</f>
        <v>56637</v>
      </c>
      <c r="F8" s="36">
        <f t="shared" si="1"/>
        <v>69790</v>
      </c>
      <c r="G8" s="35">
        <f t="shared" si="2"/>
        <v>6577</v>
      </c>
      <c r="H8" s="34">
        <f>H7+1081</f>
        <v>63214</v>
      </c>
      <c r="I8" s="37">
        <v>0</v>
      </c>
      <c r="J8" s="37">
        <f t="shared" si="3"/>
        <v>69790</v>
      </c>
    </row>
    <row r="9" spans="1:10" x14ac:dyDescent="0.25">
      <c r="A9" s="32">
        <v>27</v>
      </c>
      <c r="B9" s="33">
        <f t="shared" si="5"/>
        <v>41710</v>
      </c>
      <c r="C9" s="34">
        <f t="shared" si="4"/>
        <v>71070</v>
      </c>
      <c r="D9" s="35">
        <f t="shared" si="0"/>
        <v>13552</v>
      </c>
      <c r="E9" s="34">
        <f t="shared" si="6"/>
        <v>57518</v>
      </c>
      <c r="F9" s="36">
        <f t="shared" si="1"/>
        <v>71070</v>
      </c>
      <c r="G9" s="35">
        <f>F9-H9</f>
        <v>6776</v>
      </c>
      <c r="H9" s="34">
        <f t="shared" ref="H9:H23" si="7">H8+1080</f>
        <v>64294</v>
      </c>
      <c r="I9" s="37">
        <v>0</v>
      </c>
      <c r="J9" s="37">
        <f t="shared" si="3"/>
        <v>71070</v>
      </c>
    </row>
    <row r="10" spans="1:10" x14ac:dyDescent="0.25">
      <c r="A10" s="32">
        <v>28</v>
      </c>
      <c r="B10" s="33">
        <f t="shared" si="5"/>
        <v>42420</v>
      </c>
      <c r="C10" s="34">
        <f t="shared" si="4"/>
        <v>72350</v>
      </c>
      <c r="D10" s="35">
        <f t="shared" si="0"/>
        <v>13951</v>
      </c>
      <c r="E10" s="34">
        <f t="shared" si="6"/>
        <v>58399</v>
      </c>
      <c r="F10" s="36">
        <f t="shared" si="1"/>
        <v>72350</v>
      </c>
      <c r="G10" s="35">
        <f t="shared" si="2"/>
        <v>6976</v>
      </c>
      <c r="H10" s="34">
        <f>H9+1081</f>
        <v>65375</v>
      </c>
      <c r="I10" s="37">
        <v>0</v>
      </c>
      <c r="J10" s="37">
        <f t="shared" si="3"/>
        <v>72350</v>
      </c>
    </row>
    <row r="11" spans="1:10" x14ac:dyDescent="0.25">
      <c r="A11" s="32">
        <v>29</v>
      </c>
      <c r="B11" s="33">
        <f t="shared" si="5"/>
        <v>43130</v>
      </c>
      <c r="C11" s="34">
        <f t="shared" si="4"/>
        <v>73630</v>
      </c>
      <c r="D11" s="35">
        <f t="shared" si="0"/>
        <v>14350</v>
      </c>
      <c r="E11" s="34">
        <f t="shared" si="6"/>
        <v>59280</v>
      </c>
      <c r="F11" s="36">
        <f t="shared" si="1"/>
        <v>73630</v>
      </c>
      <c r="G11" s="35">
        <f>F11-H11</f>
        <v>7175</v>
      </c>
      <c r="H11" s="34">
        <f t="shared" si="7"/>
        <v>66455</v>
      </c>
      <c r="I11" s="37">
        <v>0</v>
      </c>
      <c r="J11" s="37">
        <f t="shared" si="3"/>
        <v>73630</v>
      </c>
    </row>
    <row r="12" spans="1:10" x14ac:dyDescent="0.25">
      <c r="A12" s="32">
        <v>30</v>
      </c>
      <c r="B12" s="33">
        <f t="shared" si="5"/>
        <v>43840</v>
      </c>
      <c r="C12" s="34">
        <f t="shared" si="4"/>
        <v>74910</v>
      </c>
      <c r="D12" s="35">
        <f t="shared" si="0"/>
        <v>14749</v>
      </c>
      <c r="E12" s="34">
        <f t="shared" si="6"/>
        <v>60161</v>
      </c>
      <c r="F12" s="36">
        <f t="shared" si="1"/>
        <v>74910</v>
      </c>
      <c r="G12" s="35">
        <f t="shared" si="2"/>
        <v>7375</v>
      </c>
      <c r="H12" s="34">
        <f>H11+1081</f>
        <v>67536</v>
      </c>
      <c r="I12" s="37">
        <v>0</v>
      </c>
      <c r="J12" s="37">
        <f t="shared" si="3"/>
        <v>74910</v>
      </c>
    </row>
    <row r="13" spans="1:10" x14ac:dyDescent="0.25">
      <c r="A13" s="32">
        <v>31</v>
      </c>
      <c r="B13" s="33">
        <f t="shared" si="5"/>
        <v>44550</v>
      </c>
      <c r="C13" s="34">
        <f t="shared" si="4"/>
        <v>76190</v>
      </c>
      <c r="D13" s="35">
        <f t="shared" si="0"/>
        <v>15148</v>
      </c>
      <c r="E13" s="34">
        <f t="shared" si="6"/>
        <v>61042</v>
      </c>
      <c r="F13" s="36">
        <f t="shared" si="1"/>
        <v>76190</v>
      </c>
      <c r="G13" s="35">
        <f>F13-H13</f>
        <v>7574</v>
      </c>
      <c r="H13" s="34">
        <f t="shared" si="7"/>
        <v>68616</v>
      </c>
      <c r="I13" s="37">
        <v>0</v>
      </c>
      <c r="J13" s="37">
        <f t="shared" si="3"/>
        <v>76190</v>
      </c>
    </row>
    <row r="14" spans="1:10" x14ac:dyDescent="0.25">
      <c r="A14" s="32">
        <v>32</v>
      </c>
      <c r="B14" s="33">
        <f t="shared" si="5"/>
        <v>45260</v>
      </c>
      <c r="C14" s="34">
        <f t="shared" si="4"/>
        <v>77470</v>
      </c>
      <c r="D14" s="35">
        <f t="shared" si="0"/>
        <v>15547</v>
      </c>
      <c r="E14" s="34">
        <f t="shared" si="6"/>
        <v>61923</v>
      </c>
      <c r="F14" s="36">
        <f t="shared" si="1"/>
        <v>77470</v>
      </c>
      <c r="G14" s="35">
        <f t="shared" si="2"/>
        <v>7774</v>
      </c>
      <c r="H14" s="34">
        <f>H13+1081</f>
        <v>69697</v>
      </c>
      <c r="I14" s="37">
        <v>0</v>
      </c>
      <c r="J14" s="37">
        <f t="shared" si="3"/>
        <v>77470</v>
      </c>
    </row>
    <row r="15" spans="1:10" x14ac:dyDescent="0.25">
      <c r="A15" s="32">
        <v>33</v>
      </c>
      <c r="B15" s="33">
        <f t="shared" si="5"/>
        <v>45970</v>
      </c>
      <c r="C15" s="34">
        <f t="shared" si="4"/>
        <v>78750</v>
      </c>
      <c r="D15" s="35">
        <f t="shared" si="0"/>
        <v>15946</v>
      </c>
      <c r="E15" s="34">
        <f t="shared" si="6"/>
        <v>62804</v>
      </c>
      <c r="F15" s="36">
        <f t="shared" si="1"/>
        <v>78750</v>
      </c>
      <c r="G15" s="35">
        <f>F15-H15</f>
        <v>7973</v>
      </c>
      <c r="H15" s="34">
        <f t="shared" si="7"/>
        <v>70777</v>
      </c>
      <c r="I15" s="37">
        <v>0</v>
      </c>
      <c r="J15" s="37">
        <f t="shared" si="3"/>
        <v>78750</v>
      </c>
    </row>
    <row r="16" spans="1:10" x14ac:dyDescent="0.25">
      <c r="A16" s="32">
        <v>34</v>
      </c>
      <c r="B16" s="33">
        <f t="shared" si="5"/>
        <v>46680</v>
      </c>
      <c r="C16" s="34">
        <f t="shared" si="4"/>
        <v>80030</v>
      </c>
      <c r="D16" s="35">
        <f t="shared" si="0"/>
        <v>16345</v>
      </c>
      <c r="E16" s="34">
        <f t="shared" si="6"/>
        <v>63685</v>
      </c>
      <c r="F16" s="36">
        <f t="shared" si="1"/>
        <v>80030</v>
      </c>
      <c r="G16" s="35">
        <f t="shared" si="2"/>
        <v>8173</v>
      </c>
      <c r="H16" s="34">
        <f>H15+1081</f>
        <v>71858</v>
      </c>
      <c r="I16" s="37">
        <v>0</v>
      </c>
      <c r="J16" s="37">
        <f t="shared" si="3"/>
        <v>80030</v>
      </c>
    </row>
    <row r="17" spans="1:10" x14ac:dyDescent="0.25">
      <c r="A17" s="32">
        <v>35</v>
      </c>
      <c r="B17" s="33">
        <f t="shared" si="5"/>
        <v>47390</v>
      </c>
      <c r="C17" s="34">
        <f t="shared" si="4"/>
        <v>81310</v>
      </c>
      <c r="D17" s="35">
        <f t="shared" si="0"/>
        <v>16744</v>
      </c>
      <c r="E17" s="34">
        <f t="shared" si="6"/>
        <v>64566</v>
      </c>
      <c r="F17" s="36">
        <f t="shared" si="1"/>
        <v>81310</v>
      </c>
      <c r="G17" s="35">
        <f>F17-H17</f>
        <v>8372</v>
      </c>
      <c r="H17" s="34">
        <f t="shared" si="7"/>
        <v>72938</v>
      </c>
      <c r="I17" s="37">
        <v>0</v>
      </c>
      <c r="J17" s="37">
        <f t="shared" si="3"/>
        <v>81310</v>
      </c>
    </row>
    <row r="18" spans="1:10" x14ac:dyDescent="0.25">
      <c r="A18" s="32">
        <v>36</v>
      </c>
      <c r="B18" s="33">
        <f t="shared" si="5"/>
        <v>48100</v>
      </c>
      <c r="C18" s="34">
        <f t="shared" si="4"/>
        <v>82590</v>
      </c>
      <c r="D18" s="35">
        <f t="shared" si="0"/>
        <v>17143</v>
      </c>
      <c r="E18" s="34">
        <f t="shared" si="6"/>
        <v>65447</v>
      </c>
      <c r="F18" s="36">
        <f t="shared" si="1"/>
        <v>82590</v>
      </c>
      <c r="G18" s="35">
        <f t="shared" si="2"/>
        <v>8572</v>
      </c>
      <c r="H18" s="34">
        <f>H17+1081</f>
        <v>74019</v>
      </c>
      <c r="I18" s="37">
        <v>0</v>
      </c>
      <c r="J18" s="37">
        <f t="shared" si="3"/>
        <v>82590</v>
      </c>
    </row>
    <row r="19" spans="1:10" x14ac:dyDescent="0.25">
      <c r="A19" s="32">
        <v>37</v>
      </c>
      <c r="B19" s="33">
        <f t="shared" si="5"/>
        <v>48810</v>
      </c>
      <c r="C19" s="34">
        <f t="shared" si="4"/>
        <v>83870</v>
      </c>
      <c r="D19" s="35">
        <f t="shared" si="0"/>
        <v>17542</v>
      </c>
      <c r="E19" s="34">
        <f t="shared" si="6"/>
        <v>66328</v>
      </c>
      <c r="F19" s="36">
        <f t="shared" si="1"/>
        <v>83870</v>
      </c>
      <c r="G19" s="35">
        <f>F19-H19</f>
        <v>8771</v>
      </c>
      <c r="H19" s="34">
        <f t="shared" si="7"/>
        <v>75099</v>
      </c>
      <c r="I19" s="37">
        <v>0</v>
      </c>
      <c r="J19" s="37">
        <f t="shared" si="3"/>
        <v>83870</v>
      </c>
    </row>
    <row r="20" spans="1:10" x14ac:dyDescent="0.25">
      <c r="A20" s="32">
        <v>38</v>
      </c>
      <c r="B20" s="33">
        <f t="shared" si="5"/>
        <v>49520</v>
      </c>
      <c r="C20" s="34">
        <f t="shared" si="4"/>
        <v>85150</v>
      </c>
      <c r="D20" s="35">
        <f t="shared" si="0"/>
        <v>17941</v>
      </c>
      <c r="E20" s="34">
        <f t="shared" si="6"/>
        <v>67209</v>
      </c>
      <c r="F20" s="36">
        <f t="shared" si="1"/>
        <v>85150</v>
      </c>
      <c r="G20" s="35">
        <f t="shared" si="2"/>
        <v>8971</v>
      </c>
      <c r="H20" s="34">
        <f>H19+1081</f>
        <v>76180</v>
      </c>
      <c r="I20" s="37">
        <v>0</v>
      </c>
      <c r="J20" s="37">
        <f t="shared" si="3"/>
        <v>85150</v>
      </c>
    </row>
    <row r="21" spans="1:10" x14ac:dyDescent="0.25">
      <c r="A21" s="32">
        <v>39</v>
      </c>
      <c r="B21" s="33">
        <f t="shared" si="5"/>
        <v>50230</v>
      </c>
      <c r="C21" s="34">
        <f t="shared" si="4"/>
        <v>86430</v>
      </c>
      <c r="D21" s="35">
        <f t="shared" si="0"/>
        <v>18340</v>
      </c>
      <c r="E21" s="34">
        <f t="shared" si="6"/>
        <v>68090</v>
      </c>
      <c r="F21" s="36">
        <f t="shared" si="1"/>
        <v>86430</v>
      </c>
      <c r="G21" s="35">
        <f>F21-H21</f>
        <v>9170</v>
      </c>
      <c r="H21" s="34">
        <f t="shared" si="7"/>
        <v>77260</v>
      </c>
      <c r="I21" s="37">
        <v>0</v>
      </c>
      <c r="J21" s="37">
        <f t="shared" si="3"/>
        <v>86430</v>
      </c>
    </row>
    <row r="22" spans="1:10" x14ac:dyDescent="0.25">
      <c r="A22" s="32">
        <v>40</v>
      </c>
      <c r="B22" s="33">
        <f t="shared" si="5"/>
        <v>50940</v>
      </c>
      <c r="C22" s="34">
        <f t="shared" si="4"/>
        <v>87710</v>
      </c>
      <c r="D22" s="35">
        <f t="shared" si="0"/>
        <v>18739</v>
      </c>
      <c r="E22" s="34">
        <f t="shared" si="6"/>
        <v>68971</v>
      </c>
      <c r="F22" s="36">
        <f t="shared" si="1"/>
        <v>87710</v>
      </c>
      <c r="G22" s="35">
        <f t="shared" si="2"/>
        <v>9370</v>
      </c>
      <c r="H22" s="34">
        <f>H21+1081</f>
        <v>78341</v>
      </c>
      <c r="I22" s="37">
        <v>0</v>
      </c>
      <c r="J22" s="37">
        <f t="shared" si="3"/>
        <v>87710</v>
      </c>
    </row>
    <row r="23" spans="1:10" x14ac:dyDescent="0.25">
      <c r="A23" s="32">
        <v>41</v>
      </c>
      <c r="B23" s="33">
        <f t="shared" si="5"/>
        <v>51650</v>
      </c>
      <c r="C23" s="34">
        <f t="shared" si="4"/>
        <v>88990</v>
      </c>
      <c r="D23" s="35">
        <f t="shared" si="0"/>
        <v>19138</v>
      </c>
      <c r="E23" s="34">
        <f t="shared" si="6"/>
        <v>69852</v>
      </c>
      <c r="F23" s="36">
        <f t="shared" si="1"/>
        <v>88990</v>
      </c>
      <c r="G23" s="35">
        <f>F23-H23</f>
        <v>9569</v>
      </c>
      <c r="H23" s="34">
        <f t="shared" si="7"/>
        <v>79421</v>
      </c>
      <c r="I23" s="37">
        <v>0</v>
      </c>
      <c r="J23" s="37">
        <f t="shared" si="3"/>
        <v>88990</v>
      </c>
    </row>
    <row r="24" spans="1:10" ht="15.75" thickBot="1" x14ac:dyDescent="0.3">
      <c r="A24" s="38">
        <v>42</v>
      </c>
      <c r="B24" s="39">
        <f t="shared" si="5"/>
        <v>52360</v>
      </c>
      <c r="C24" s="40">
        <f t="shared" si="4"/>
        <v>90270</v>
      </c>
      <c r="D24" s="41">
        <f t="shared" si="0"/>
        <v>19537</v>
      </c>
      <c r="E24" s="40">
        <f t="shared" si="6"/>
        <v>70733</v>
      </c>
      <c r="F24" s="42">
        <f t="shared" si="1"/>
        <v>90270</v>
      </c>
      <c r="G24" s="41">
        <f t="shared" si="2"/>
        <v>9769</v>
      </c>
      <c r="H24" s="40">
        <f>H23+1081</f>
        <v>80502</v>
      </c>
      <c r="I24" s="43">
        <v>0</v>
      </c>
      <c r="J24" s="43">
        <f t="shared" si="3"/>
        <v>90270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A290"/>
  </sheetPr>
  <dimension ref="A1:J23"/>
  <sheetViews>
    <sheetView topLeftCell="A4" workbookViewId="0">
      <selection activeCell="G20" sqref="G20"/>
    </sheetView>
  </sheetViews>
  <sheetFormatPr defaultRowHeight="15" x14ac:dyDescent="0.25"/>
  <cols>
    <col min="2" max="10" width="14.85546875" customWidth="1"/>
  </cols>
  <sheetData>
    <row r="1" spans="1:10" ht="23.25" x14ac:dyDescent="0.35">
      <c r="A1" s="47" t="s">
        <v>22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</v>
      </c>
      <c r="B5" s="28">
        <v>27910</v>
      </c>
      <c r="C5" s="29">
        <v>46220</v>
      </c>
      <c r="D5" s="28">
        <f>C5-E5</f>
        <v>5817</v>
      </c>
      <c r="E5" s="29">
        <v>40403</v>
      </c>
      <c r="F5" s="30">
        <f>C5</f>
        <v>46220</v>
      </c>
      <c r="G5" s="28">
        <f>F5-H5+1</f>
        <v>2909</v>
      </c>
      <c r="H5" s="29">
        <v>43312</v>
      </c>
      <c r="I5" s="31">
        <v>0</v>
      </c>
      <c r="J5" s="31">
        <f>F5</f>
        <v>46220</v>
      </c>
    </row>
    <row r="6" spans="1:10" x14ac:dyDescent="0.25">
      <c r="A6" s="32">
        <v>2</v>
      </c>
      <c r="B6" s="33">
        <v>28210</v>
      </c>
      <c r="C6" s="34">
        <f>C5+540</f>
        <v>46760</v>
      </c>
      <c r="D6" s="35">
        <f t="shared" ref="D6:D23" si="0">C6-E6</f>
        <v>5985</v>
      </c>
      <c r="E6" s="34">
        <v>40775</v>
      </c>
      <c r="F6" s="36">
        <f t="shared" ref="F6:F23" si="1">C6</f>
        <v>46760</v>
      </c>
      <c r="G6" s="35">
        <f t="shared" ref="G6:G23" si="2">F6-H6+1</f>
        <v>2993</v>
      </c>
      <c r="H6" s="34">
        <v>43768</v>
      </c>
      <c r="I6" s="37">
        <v>0</v>
      </c>
      <c r="J6" s="37">
        <f t="shared" ref="J6:J23" si="3">F6</f>
        <v>46760</v>
      </c>
    </row>
    <row r="7" spans="1:10" x14ac:dyDescent="0.25">
      <c r="A7" s="32">
        <v>3</v>
      </c>
      <c r="B7" s="33">
        <f>B6+300</f>
        <v>28510</v>
      </c>
      <c r="C7" s="34">
        <f t="shared" ref="C7:C23" si="4">C6+540</f>
        <v>47300</v>
      </c>
      <c r="D7" s="35">
        <f t="shared" si="0"/>
        <v>6153</v>
      </c>
      <c r="E7" s="34">
        <f>E6+372</f>
        <v>41147</v>
      </c>
      <c r="F7" s="36">
        <f t="shared" si="1"/>
        <v>47300</v>
      </c>
      <c r="G7" s="35">
        <f t="shared" si="2"/>
        <v>3077</v>
      </c>
      <c r="H7" s="34">
        <f>H6+456</f>
        <v>44224</v>
      </c>
      <c r="I7" s="37">
        <v>0</v>
      </c>
      <c r="J7" s="37">
        <f t="shared" si="3"/>
        <v>47300</v>
      </c>
    </row>
    <row r="8" spans="1:10" x14ac:dyDescent="0.25">
      <c r="A8" s="32">
        <v>4</v>
      </c>
      <c r="B8" s="33">
        <f t="shared" ref="B8:B23" si="5">B7+300</f>
        <v>28810</v>
      </c>
      <c r="C8" s="34">
        <f t="shared" si="4"/>
        <v>47840</v>
      </c>
      <c r="D8" s="35">
        <f t="shared" si="0"/>
        <v>6321</v>
      </c>
      <c r="E8" s="34">
        <f t="shared" ref="E8:E23" si="6">E7+372</f>
        <v>41519</v>
      </c>
      <c r="F8" s="36">
        <f t="shared" si="1"/>
        <v>47840</v>
      </c>
      <c r="G8" s="35">
        <f t="shared" si="2"/>
        <v>3161</v>
      </c>
      <c r="H8" s="34">
        <f t="shared" ref="H8:H23" si="7">H7+456</f>
        <v>44680</v>
      </c>
      <c r="I8" s="37">
        <v>0</v>
      </c>
      <c r="J8" s="37">
        <f t="shared" si="3"/>
        <v>47840</v>
      </c>
    </row>
    <row r="9" spans="1:10" x14ac:dyDescent="0.25">
      <c r="A9" s="32">
        <v>5</v>
      </c>
      <c r="B9" s="33">
        <f t="shared" si="5"/>
        <v>29110</v>
      </c>
      <c r="C9" s="34">
        <f t="shared" si="4"/>
        <v>48380</v>
      </c>
      <c r="D9" s="35">
        <f t="shared" si="0"/>
        <v>6489</v>
      </c>
      <c r="E9" s="34">
        <f t="shared" si="6"/>
        <v>41891</v>
      </c>
      <c r="F9" s="36">
        <f t="shared" si="1"/>
        <v>48380</v>
      </c>
      <c r="G9" s="35">
        <f t="shared" si="2"/>
        <v>3245</v>
      </c>
      <c r="H9" s="34">
        <f t="shared" si="7"/>
        <v>45136</v>
      </c>
      <c r="I9" s="37">
        <v>0</v>
      </c>
      <c r="J9" s="37">
        <f t="shared" si="3"/>
        <v>48380</v>
      </c>
    </row>
    <row r="10" spans="1:10" x14ac:dyDescent="0.25">
      <c r="A10" s="32">
        <v>6</v>
      </c>
      <c r="B10" s="33">
        <f t="shared" si="5"/>
        <v>29410</v>
      </c>
      <c r="C10" s="34">
        <f t="shared" si="4"/>
        <v>48920</v>
      </c>
      <c r="D10" s="35">
        <f t="shared" si="0"/>
        <v>6657</v>
      </c>
      <c r="E10" s="34">
        <f t="shared" si="6"/>
        <v>42263</v>
      </c>
      <c r="F10" s="36">
        <f t="shared" si="1"/>
        <v>48920</v>
      </c>
      <c r="G10" s="35">
        <f t="shared" si="2"/>
        <v>3329</v>
      </c>
      <c r="H10" s="34">
        <f t="shared" si="7"/>
        <v>45592</v>
      </c>
      <c r="I10" s="37">
        <v>0</v>
      </c>
      <c r="J10" s="37">
        <f t="shared" si="3"/>
        <v>48920</v>
      </c>
    </row>
    <row r="11" spans="1:10" x14ac:dyDescent="0.25">
      <c r="A11" s="32">
        <v>7</v>
      </c>
      <c r="B11" s="33">
        <f t="shared" si="5"/>
        <v>29710</v>
      </c>
      <c r="C11" s="34">
        <f t="shared" si="4"/>
        <v>49460</v>
      </c>
      <c r="D11" s="35">
        <f t="shared" si="0"/>
        <v>6825</v>
      </c>
      <c r="E11" s="34">
        <f t="shared" si="6"/>
        <v>42635</v>
      </c>
      <c r="F11" s="36">
        <f t="shared" si="1"/>
        <v>49460</v>
      </c>
      <c r="G11" s="35">
        <f t="shared" si="2"/>
        <v>3413</v>
      </c>
      <c r="H11" s="34">
        <f t="shared" si="7"/>
        <v>46048</v>
      </c>
      <c r="I11" s="37">
        <v>0</v>
      </c>
      <c r="J11" s="37">
        <f t="shared" si="3"/>
        <v>49460</v>
      </c>
    </row>
    <row r="12" spans="1:10" x14ac:dyDescent="0.25">
      <c r="A12" s="32">
        <v>8</v>
      </c>
      <c r="B12" s="33">
        <f t="shared" si="5"/>
        <v>30010</v>
      </c>
      <c r="C12" s="34">
        <f t="shared" si="4"/>
        <v>50000</v>
      </c>
      <c r="D12" s="35">
        <f t="shared" si="0"/>
        <v>6993</v>
      </c>
      <c r="E12" s="34">
        <f t="shared" si="6"/>
        <v>43007</v>
      </c>
      <c r="F12" s="36">
        <f t="shared" si="1"/>
        <v>50000</v>
      </c>
      <c r="G12" s="35">
        <f t="shared" si="2"/>
        <v>3497</v>
      </c>
      <c r="H12" s="34">
        <f t="shared" si="7"/>
        <v>46504</v>
      </c>
      <c r="I12" s="37">
        <v>0</v>
      </c>
      <c r="J12" s="37">
        <f t="shared" si="3"/>
        <v>50000</v>
      </c>
    </row>
    <row r="13" spans="1:10" x14ac:dyDescent="0.25">
      <c r="A13" s="32">
        <v>9</v>
      </c>
      <c r="B13" s="33">
        <f t="shared" si="5"/>
        <v>30310</v>
      </c>
      <c r="C13" s="34">
        <f t="shared" si="4"/>
        <v>50540</v>
      </c>
      <c r="D13" s="35">
        <f t="shared" si="0"/>
        <v>7161</v>
      </c>
      <c r="E13" s="34">
        <f t="shared" si="6"/>
        <v>43379</v>
      </c>
      <c r="F13" s="36">
        <f t="shared" si="1"/>
        <v>50540</v>
      </c>
      <c r="G13" s="35">
        <f t="shared" si="2"/>
        <v>3581</v>
      </c>
      <c r="H13" s="34">
        <f t="shared" si="7"/>
        <v>46960</v>
      </c>
      <c r="I13" s="37">
        <v>0</v>
      </c>
      <c r="J13" s="37">
        <f t="shared" si="3"/>
        <v>50540</v>
      </c>
    </row>
    <row r="14" spans="1:10" x14ac:dyDescent="0.25">
      <c r="A14" s="32">
        <v>10</v>
      </c>
      <c r="B14" s="33">
        <f t="shared" si="5"/>
        <v>30610</v>
      </c>
      <c r="C14" s="34">
        <f t="shared" si="4"/>
        <v>51080</v>
      </c>
      <c r="D14" s="35">
        <f t="shared" si="0"/>
        <v>7329</v>
      </c>
      <c r="E14" s="34">
        <f t="shared" si="6"/>
        <v>43751</v>
      </c>
      <c r="F14" s="36">
        <f t="shared" si="1"/>
        <v>51080</v>
      </c>
      <c r="G14" s="35">
        <f t="shared" si="2"/>
        <v>3665</v>
      </c>
      <c r="H14" s="34">
        <f t="shared" si="7"/>
        <v>47416</v>
      </c>
      <c r="I14" s="37">
        <v>0</v>
      </c>
      <c r="J14" s="37">
        <f t="shared" si="3"/>
        <v>51080</v>
      </c>
    </row>
    <row r="15" spans="1:10" x14ac:dyDescent="0.25">
      <c r="A15" s="32">
        <v>11</v>
      </c>
      <c r="B15" s="33">
        <f t="shared" si="5"/>
        <v>30910</v>
      </c>
      <c r="C15" s="34">
        <f t="shared" si="4"/>
        <v>51620</v>
      </c>
      <c r="D15" s="35">
        <f t="shared" si="0"/>
        <v>7497</v>
      </c>
      <c r="E15" s="34">
        <f t="shared" si="6"/>
        <v>44123</v>
      </c>
      <c r="F15" s="36">
        <f t="shared" si="1"/>
        <v>51620</v>
      </c>
      <c r="G15" s="35">
        <f t="shared" si="2"/>
        <v>3749</v>
      </c>
      <c r="H15" s="34">
        <f t="shared" si="7"/>
        <v>47872</v>
      </c>
      <c r="I15" s="37">
        <v>0</v>
      </c>
      <c r="J15" s="37">
        <f t="shared" si="3"/>
        <v>51620</v>
      </c>
    </row>
    <row r="16" spans="1:10" x14ac:dyDescent="0.25">
      <c r="A16" s="32">
        <v>12</v>
      </c>
      <c r="B16" s="33">
        <f t="shared" si="5"/>
        <v>31210</v>
      </c>
      <c r="C16" s="34">
        <f t="shared" si="4"/>
        <v>52160</v>
      </c>
      <c r="D16" s="35">
        <f t="shared" si="0"/>
        <v>7665</v>
      </c>
      <c r="E16" s="34">
        <f t="shared" si="6"/>
        <v>44495</v>
      </c>
      <c r="F16" s="36">
        <f t="shared" si="1"/>
        <v>52160</v>
      </c>
      <c r="G16" s="35">
        <f t="shared" si="2"/>
        <v>3833</v>
      </c>
      <c r="H16" s="34">
        <f t="shared" si="7"/>
        <v>48328</v>
      </c>
      <c r="I16" s="37">
        <v>0</v>
      </c>
      <c r="J16" s="37">
        <f t="shared" si="3"/>
        <v>52160</v>
      </c>
    </row>
    <row r="17" spans="1:10" x14ac:dyDescent="0.25">
      <c r="A17" s="32">
        <v>13</v>
      </c>
      <c r="B17" s="33">
        <f t="shared" si="5"/>
        <v>31510</v>
      </c>
      <c r="C17" s="34">
        <f t="shared" si="4"/>
        <v>52700</v>
      </c>
      <c r="D17" s="35">
        <f t="shared" si="0"/>
        <v>7833</v>
      </c>
      <c r="E17" s="34">
        <f t="shared" si="6"/>
        <v>44867</v>
      </c>
      <c r="F17" s="36">
        <f t="shared" si="1"/>
        <v>52700</v>
      </c>
      <c r="G17" s="35">
        <f t="shared" si="2"/>
        <v>3917</v>
      </c>
      <c r="H17" s="34">
        <f t="shared" si="7"/>
        <v>48784</v>
      </c>
      <c r="I17" s="37">
        <v>0</v>
      </c>
      <c r="J17" s="37">
        <f t="shared" si="3"/>
        <v>52700</v>
      </c>
    </row>
    <row r="18" spans="1:10" x14ac:dyDescent="0.25">
      <c r="A18" s="32">
        <v>14</v>
      </c>
      <c r="B18" s="33">
        <f t="shared" si="5"/>
        <v>31810</v>
      </c>
      <c r="C18" s="34">
        <f t="shared" si="4"/>
        <v>53240</v>
      </c>
      <c r="D18" s="35">
        <f t="shared" si="0"/>
        <v>8001</v>
      </c>
      <c r="E18" s="34">
        <f t="shared" si="6"/>
        <v>45239</v>
      </c>
      <c r="F18" s="36">
        <f t="shared" si="1"/>
        <v>53240</v>
      </c>
      <c r="G18" s="35">
        <f t="shared" si="2"/>
        <v>4001</v>
      </c>
      <c r="H18" s="34">
        <f t="shared" si="7"/>
        <v>49240</v>
      </c>
      <c r="I18" s="37">
        <v>0</v>
      </c>
      <c r="J18" s="37">
        <f t="shared" si="3"/>
        <v>53240</v>
      </c>
    </row>
    <row r="19" spans="1:10" x14ac:dyDescent="0.25">
      <c r="A19" s="32">
        <v>15</v>
      </c>
      <c r="B19" s="33">
        <f t="shared" si="5"/>
        <v>32110</v>
      </c>
      <c r="C19" s="34">
        <f t="shared" si="4"/>
        <v>53780</v>
      </c>
      <c r="D19" s="35">
        <f t="shared" si="0"/>
        <v>8169</v>
      </c>
      <c r="E19" s="34">
        <f t="shared" si="6"/>
        <v>45611</v>
      </c>
      <c r="F19" s="36">
        <f t="shared" si="1"/>
        <v>53780</v>
      </c>
      <c r="G19" s="35">
        <f t="shared" si="2"/>
        <v>4085</v>
      </c>
      <c r="H19" s="34">
        <f t="shared" si="7"/>
        <v>49696</v>
      </c>
      <c r="I19" s="37">
        <v>0</v>
      </c>
      <c r="J19" s="37">
        <f t="shared" si="3"/>
        <v>53780</v>
      </c>
    </row>
    <row r="20" spans="1:10" x14ac:dyDescent="0.25">
      <c r="A20" s="32">
        <v>16</v>
      </c>
      <c r="B20" s="33">
        <f t="shared" si="5"/>
        <v>32410</v>
      </c>
      <c r="C20" s="34">
        <f t="shared" si="4"/>
        <v>54320</v>
      </c>
      <c r="D20" s="35">
        <f t="shared" si="0"/>
        <v>8337</v>
      </c>
      <c r="E20" s="34">
        <f t="shared" si="6"/>
        <v>45983</v>
      </c>
      <c r="F20" s="36">
        <f t="shared" si="1"/>
        <v>54320</v>
      </c>
      <c r="G20" s="35">
        <f t="shared" si="2"/>
        <v>4169</v>
      </c>
      <c r="H20" s="34">
        <f t="shared" si="7"/>
        <v>50152</v>
      </c>
      <c r="I20" s="37">
        <v>0</v>
      </c>
      <c r="J20" s="37">
        <f t="shared" si="3"/>
        <v>54320</v>
      </c>
    </row>
    <row r="21" spans="1:10" x14ac:dyDescent="0.25">
      <c r="A21" s="32">
        <v>17</v>
      </c>
      <c r="B21" s="33">
        <f t="shared" si="5"/>
        <v>32710</v>
      </c>
      <c r="C21" s="34">
        <f t="shared" si="4"/>
        <v>54860</v>
      </c>
      <c r="D21" s="35">
        <f t="shared" si="0"/>
        <v>8505</v>
      </c>
      <c r="E21" s="34">
        <f t="shared" si="6"/>
        <v>46355</v>
      </c>
      <c r="F21" s="36">
        <f t="shared" si="1"/>
        <v>54860</v>
      </c>
      <c r="G21" s="35">
        <f t="shared" si="2"/>
        <v>4253</v>
      </c>
      <c r="H21" s="34">
        <f t="shared" si="7"/>
        <v>50608</v>
      </c>
      <c r="I21" s="37">
        <v>0</v>
      </c>
      <c r="J21" s="37">
        <f t="shared" si="3"/>
        <v>54860</v>
      </c>
    </row>
    <row r="22" spans="1:10" x14ac:dyDescent="0.25">
      <c r="A22" s="32">
        <v>18</v>
      </c>
      <c r="B22" s="33">
        <f t="shared" si="5"/>
        <v>33010</v>
      </c>
      <c r="C22" s="34">
        <f t="shared" si="4"/>
        <v>55400</v>
      </c>
      <c r="D22" s="35">
        <f t="shared" si="0"/>
        <v>8673</v>
      </c>
      <c r="E22" s="34">
        <f t="shared" si="6"/>
        <v>46727</v>
      </c>
      <c r="F22" s="36">
        <f t="shared" si="1"/>
        <v>55400</v>
      </c>
      <c r="G22" s="35">
        <f t="shared" si="2"/>
        <v>4337</v>
      </c>
      <c r="H22" s="34">
        <f t="shared" si="7"/>
        <v>51064</v>
      </c>
      <c r="I22" s="37">
        <v>0</v>
      </c>
      <c r="J22" s="37">
        <f t="shared" si="3"/>
        <v>55400</v>
      </c>
    </row>
    <row r="23" spans="1:10" ht="15.75" thickBot="1" x14ac:dyDescent="0.3">
      <c r="A23" s="38">
        <v>19</v>
      </c>
      <c r="B23" s="39">
        <f t="shared" si="5"/>
        <v>33310</v>
      </c>
      <c r="C23" s="40">
        <f t="shared" si="4"/>
        <v>55940</v>
      </c>
      <c r="D23" s="41">
        <f t="shared" si="0"/>
        <v>8841</v>
      </c>
      <c r="E23" s="40">
        <f t="shared" si="6"/>
        <v>47099</v>
      </c>
      <c r="F23" s="42">
        <f t="shared" si="1"/>
        <v>55940</v>
      </c>
      <c r="G23" s="41">
        <f t="shared" si="2"/>
        <v>4421</v>
      </c>
      <c r="H23" s="40">
        <f t="shared" si="7"/>
        <v>51520</v>
      </c>
      <c r="I23" s="43">
        <v>0</v>
      </c>
      <c r="J23" s="43">
        <f t="shared" si="3"/>
        <v>55940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A290"/>
  </sheetPr>
  <dimension ref="A1:J23"/>
  <sheetViews>
    <sheetView topLeftCell="A3" workbookViewId="0">
      <selection activeCell="G17" sqref="G17"/>
    </sheetView>
  </sheetViews>
  <sheetFormatPr defaultRowHeight="15" x14ac:dyDescent="0.25"/>
  <cols>
    <col min="2" max="2" width="15.28515625" customWidth="1"/>
    <col min="3" max="10" width="14.140625" customWidth="1"/>
  </cols>
  <sheetData>
    <row r="1" spans="1:10" ht="23.25" x14ac:dyDescent="0.35">
      <c r="A1" s="47" t="s">
        <v>23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12</v>
      </c>
      <c r="B5" s="28">
        <v>31260</v>
      </c>
      <c r="C5" s="29">
        <v>52250</v>
      </c>
      <c r="D5" s="28">
        <f>C5-E5</f>
        <v>7693</v>
      </c>
      <c r="E5" s="29">
        <v>44557</v>
      </c>
      <c r="F5" s="30">
        <f>C5</f>
        <v>52250</v>
      </c>
      <c r="G5" s="28">
        <f>F5-H5+1</f>
        <v>3847</v>
      </c>
      <c r="H5" s="29">
        <v>48404</v>
      </c>
      <c r="I5" s="31">
        <v>0</v>
      </c>
      <c r="J5" s="31">
        <f>F5</f>
        <v>52250</v>
      </c>
    </row>
    <row r="6" spans="1:10" x14ac:dyDescent="0.25">
      <c r="A6" s="32">
        <v>13</v>
      </c>
      <c r="B6" s="33">
        <v>31610</v>
      </c>
      <c r="C6" s="34">
        <f>C5+630</f>
        <v>52880</v>
      </c>
      <c r="D6" s="35">
        <f t="shared" ref="D6:D23" si="0">C6-E6</f>
        <v>7889</v>
      </c>
      <c r="E6" s="34">
        <v>44991</v>
      </c>
      <c r="F6" s="36">
        <f t="shared" ref="F6:F23" si="1">C6</f>
        <v>52880</v>
      </c>
      <c r="G6" s="35">
        <f t="shared" ref="G6:G23" si="2">F6-H6+1</f>
        <v>3945</v>
      </c>
      <c r="H6" s="34">
        <v>48936</v>
      </c>
      <c r="I6" s="37">
        <v>0</v>
      </c>
      <c r="J6" s="37">
        <f t="shared" ref="J6:J23" si="3">F6</f>
        <v>52880</v>
      </c>
    </row>
    <row r="7" spans="1:10" x14ac:dyDescent="0.25">
      <c r="A7" s="32">
        <v>14</v>
      </c>
      <c r="B7" s="33">
        <f>B6+350</f>
        <v>31960</v>
      </c>
      <c r="C7" s="34">
        <f t="shared" ref="C7:C10" si="4">C6+630</f>
        <v>53510</v>
      </c>
      <c r="D7" s="35">
        <f t="shared" si="0"/>
        <v>8085</v>
      </c>
      <c r="E7" s="34">
        <f>E6+434</f>
        <v>45425</v>
      </c>
      <c r="F7" s="36">
        <f t="shared" si="1"/>
        <v>53510</v>
      </c>
      <c r="G7" s="35">
        <f t="shared" si="2"/>
        <v>4043</v>
      </c>
      <c r="H7" s="34">
        <f>H6+532</f>
        <v>49468</v>
      </c>
      <c r="I7" s="37">
        <v>0</v>
      </c>
      <c r="J7" s="37">
        <f t="shared" si="3"/>
        <v>53510</v>
      </c>
    </row>
    <row r="8" spans="1:10" x14ac:dyDescent="0.25">
      <c r="A8" s="32">
        <v>15</v>
      </c>
      <c r="B8" s="33">
        <f t="shared" ref="B8:B11" si="5">B7+350</f>
        <v>32310</v>
      </c>
      <c r="C8" s="34">
        <f t="shared" si="4"/>
        <v>54140</v>
      </c>
      <c r="D8" s="35">
        <f t="shared" si="0"/>
        <v>8281</v>
      </c>
      <c r="E8" s="34">
        <f t="shared" ref="E8:E11" si="6">E7+434</f>
        <v>45859</v>
      </c>
      <c r="F8" s="36">
        <f t="shared" si="1"/>
        <v>54140</v>
      </c>
      <c r="G8" s="35">
        <f t="shared" si="2"/>
        <v>4141</v>
      </c>
      <c r="H8" s="34">
        <f t="shared" ref="H8:H11" si="7">H7+532</f>
        <v>50000</v>
      </c>
      <c r="I8" s="37">
        <v>0</v>
      </c>
      <c r="J8" s="37">
        <f t="shared" si="3"/>
        <v>54140</v>
      </c>
    </row>
    <row r="9" spans="1:10" x14ac:dyDescent="0.25">
      <c r="A9" s="32">
        <v>16</v>
      </c>
      <c r="B9" s="33">
        <f t="shared" si="5"/>
        <v>32660</v>
      </c>
      <c r="C9" s="34">
        <f t="shared" si="4"/>
        <v>54770</v>
      </c>
      <c r="D9" s="35">
        <f t="shared" si="0"/>
        <v>8477</v>
      </c>
      <c r="E9" s="34">
        <f t="shared" si="6"/>
        <v>46293</v>
      </c>
      <c r="F9" s="36">
        <f t="shared" si="1"/>
        <v>54770</v>
      </c>
      <c r="G9" s="35">
        <f t="shared" si="2"/>
        <v>4239</v>
      </c>
      <c r="H9" s="34">
        <f t="shared" si="7"/>
        <v>50532</v>
      </c>
      <c r="I9" s="37">
        <v>0</v>
      </c>
      <c r="J9" s="37">
        <f t="shared" si="3"/>
        <v>54770</v>
      </c>
    </row>
    <row r="10" spans="1:10" x14ac:dyDescent="0.25">
      <c r="A10" s="32">
        <v>17</v>
      </c>
      <c r="B10" s="33">
        <f t="shared" si="5"/>
        <v>33010</v>
      </c>
      <c r="C10" s="34">
        <f t="shared" si="4"/>
        <v>55400</v>
      </c>
      <c r="D10" s="35">
        <f t="shared" si="0"/>
        <v>8673</v>
      </c>
      <c r="E10" s="34">
        <f t="shared" si="6"/>
        <v>46727</v>
      </c>
      <c r="F10" s="36">
        <f t="shared" si="1"/>
        <v>55400</v>
      </c>
      <c r="G10" s="35">
        <f t="shared" si="2"/>
        <v>4337</v>
      </c>
      <c r="H10" s="34">
        <f t="shared" si="7"/>
        <v>51064</v>
      </c>
      <c r="I10" s="37">
        <v>0</v>
      </c>
      <c r="J10" s="37">
        <f t="shared" si="3"/>
        <v>55400</v>
      </c>
    </row>
    <row r="11" spans="1:10" x14ac:dyDescent="0.25">
      <c r="A11" s="32">
        <v>18</v>
      </c>
      <c r="B11" s="33">
        <f t="shared" si="5"/>
        <v>33360</v>
      </c>
      <c r="C11" s="34">
        <f>C10+630</f>
        <v>56030</v>
      </c>
      <c r="D11" s="35">
        <f t="shared" si="0"/>
        <v>8869</v>
      </c>
      <c r="E11" s="34">
        <f t="shared" si="6"/>
        <v>47161</v>
      </c>
      <c r="F11" s="36">
        <f t="shared" si="1"/>
        <v>56030</v>
      </c>
      <c r="G11" s="35">
        <f t="shared" si="2"/>
        <v>4435</v>
      </c>
      <c r="H11" s="34">
        <f t="shared" si="7"/>
        <v>51596</v>
      </c>
      <c r="I11" s="37">
        <v>0</v>
      </c>
      <c r="J11" s="37">
        <f t="shared" si="3"/>
        <v>56030</v>
      </c>
    </row>
    <row r="12" spans="1:10" x14ac:dyDescent="0.25">
      <c r="A12" s="32">
        <v>19</v>
      </c>
      <c r="B12" s="33">
        <f>33960</f>
        <v>33960</v>
      </c>
      <c r="C12" s="34">
        <f>C11+1080</f>
        <v>57110</v>
      </c>
      <c r="D12" s="35">
        <f t="shared" si="0"/>
        <v>9205</v>
      </c>
      <c r="E12" s="34">
        <f>47905</f>
        <v>47905</v>
      </c>
      <c r="F12" s="36">
        <f t="shared" si="1"/>
        <v>57110</v>
      </c>
      <c r="G12" s="35">
        <f t="shared" si="2"/>
        <v>4603</v>
      </c>
      <c r="H12" s="34">
        <v>52508</v>
      </c>
      <c r="I12" s="37">
        <v>0</v>
      </c>
      <c r="J12" s="37">
        <f t="shared" si="3"/>
        <v>57110</v>
      </c>
    </row>
    <row r="13" spans="1:10" x14ac:dyDescent="0.25">
      <c r="A13" s="32">
        <v>20</v>
      </c>
      <c r="B13" s="33">
        <f>B12+600</f>
        <v>34560</v>
      </c>
      <c r="C13" s="34">
        <f t="shared" ref="C13:C23" si="8">C12+1080</f>
        <v>58190</v>
      </c>
      <c r="D13" s="35">
        <f t="shared" si="0"/>
        <v>9541</v>
      </c>
      <c r="E13" s="34">
        <f>E12+744</f>
        <v>48649</v>
      </c>
      <c r="F13" s="36">
        <f t="shared" si="1"/>
        <v>58190</v>
      </c>
      <c r="G13" s="35">
        <f t="shared" si="2"/>
        <v>4771</v>
      </c>
      <c r="H13" s="34">
        <f>H12+912</f>
        <v>53420</v>
      </c>
      <c r="I13" s="37">
        <v>0</v>
      </c>
      <c r="J13" s="37">
        <f t="shared" si="3"/>
        <v>58190</v>
      </c>
    </row>
    <row r="14" spans="1:10" x14ac:dyDescent="0.25">
      <c r="A14" s="32">
        <v>21</v>
      </c>
      <c r="B14" s="33">
        <f t="shared" ref="B14:B23" si="9">B13+600</f>
        <v>35160</v>
      </c>
      <c r="C14" s="34">
        <f t="shared" si="8"/>
        <v>59270</v>
      </c>
      <c r="D14" s="35">
        <f t="shared" si="0"/>
        <v>9877</v>
      </c>
      <c r="E14" s="34">
        <f t="shared" ref="E14:E23" si="10">E13+744</f>
        <v>49393</v>
      </c>
      <c r="F14" s="36">
        <f t="shared" si="1"/>
        <v>59270</v>
      </c>
      <c r="G14" s="35">
        <f t="shared" si="2"/>
        <v>4939</v>
      </c>
      <c r="H14" s="34">
        <f t="shared" ref="H14:H23" si="11">H13+912</f>
        <v>54332</v>
      </c>
      <c r="I14" s="37">
        <v>0</v>
      </c>
      <c r="J14" s="37">
        <f t="shared" si="3"/>
        <v>59270</v>
      </c>
    </row>
    <row r="15" spans="1:10" x14ac:dyDescent="0.25">
      <c r="A15" s="32">
        <v>22</v>
      </c>
      <c r="B15" s="33">
        <f t="shared" si="9"/>
        <v>35760</v>
      </c>
      <c r="C15" s="34">
        <f t="shared" si="8"/>
        <v>60350</v>
      </c>
      <c r="D15" s="35">
        <f t="shared" si="0"/>
        <v>10213</v>
      </c>
      <c r="E15" s="34">
        <f t="shared" si="10"/>
        <v>50137</v>
      </c>
      <c r="F15" s="36">
        <f t="shared" si="1"/>
        <v>60350</v>
      </c>
      <c r="G15" s="35">
        <f t="shared" si="2"/>
        <v>5107</v>
      </c>
      <c r="H15" s="34">
        <f t="shared" si="11"/>
        <v>55244</v>
      </c>
      <c r="I15" s="37">
        <v>0</v>
      </c>
      <c r="J15" s="37">
        <f t="shared" si="3"/>
        <v>60350</v>
      </c>
    </row>
    <row r="16" spans="1:10" x14ac:dyDescent="0.25">
      <c r="A16" s="32">
        <v>23</v>
      </c>
      <c r="B16" s="33">
        <f t="shared" si="9"/>
        <v>36360</v>
      </c>
      <c r="C16" s="34">
        <f t="shared" si="8"/>
        <v>61430</v>
      </c>
      <c r="D16" s="35">
        <f t="shared" si="0"/>
        <v>10549</v>
      </c>
      <c r="E16" s="34">
        <f t="shared" si="10"/>
        <v>50881</v>
      </c>
      <c r="F16" s="36">
        <f t="shared" si="1"/>
        <v>61430</v>
      </c>
      <c r="G16" s="35">
        <f t="shared" si="2"/>
        <v>5275</v>
      </c>
      <c r="H16" s="34">
        <f t="shared" si="11"/>
        <v>56156</v>
      </c>
      <c r="I16" s="37">
        <v>0</v>
      </c>
      <c r="J16" s="37">
        <f t="shared" si="3"/>
        <v>61430</v>
      </c>
    </row>
    <row r="17" spans="1:10" x14ac:dyDescent="0.25">
      <c r="A17" s="32">
        <v>24</v>
      </c>
      <c r="B17" s="33">
        <f t="shared" si="9"/>
        <v>36960</v>
      </c>
      <c r="C17" s="34">
        <f t="shared" si="8"/>
        <v>62510</v>
      </c>
      <c r="D17" s="35">
        <f t="shared" si="0"/>
        <v>10885</v>
      </c>
      <c r="E17" s="34">
        <f t="shared" si="10"/>
        <v>51625</v>
      </c>
      <c r="F17" s="36">
        <f t="shared" si="1"/>
        <v>62510</v>
      </c>
      <c r="G17" s="35">
        <f t="shared" si="2"/>
        <v>5443</v>
      </c>
      <c r="H17" s="34">
        <f t="shared" si="11"/>
        <v>57068</v>
      </c>
      <c r="I17" s="37">
        <v>0</v>
      </c>
      <c r="J17" s="37">
        <f t="shared" si="3"/>
        <v>62510</v>
      </c>
    </row>
    <row r="18" spans="1:10" x14ac:dyDescent="0.25">
      <c r="A18" s="32">
        <v>25</v>
      </c>
      <c r="B18" s="33">
        <f t="shared" si="9"/>
        <v>37560</v>
      </c>
      <c r="C18" s="34">
        <f t="shared" si="8"/>
        <v>63590</v>
      </c>
      <c r="D18" s="35">
        <f t="shared" si="0"/>
        <v>11221</v>
      </c>
      <c r="E18" s="34">
        <f t="shared" si="10"/>
        <v>52369</v>
      </c>
      <c r="F18" s="36">
        <f t="shared" si="1"/>
        <v>63590</v>
      </c>
      <c r="G18" s="35">
        <f t="shared" si="2"/>
        <v>5611</v>
      </c>
      <c r="H18" s="34">
        <f t="shared" si="11"/>
        <v>57980</v>
      </c>
      <c r="I18" s="37">
        <v>0</v>
      </c>
      <c r="J18" s="37">
        <f t="shared" si="3"/>
        <v>63590</v>
      </c>
    </row>
    <row r="19" spans="1:10" x14ac:dyDescent="0.25">
      <c r="A19" s="32">
        <v>26</v>
      </c>
      <c r="B19" s="33">
        <f t="shared" si="9"/>
        <v>38160</v>
      </c>
      <c r="C19" s="34">
        <f t="shared" si="8"/>
        <v>64670</v>
      </c>
      <c r="D19" s="35">
        <f t="shared" si="0"/>
        <v>11557</v>
      </c>
      <c r="E19" s="34">
        <f t="shared" si="10"/>
        <v>53113</v>
      </c>
      <c r="F19" s="36">
        <f t="shared" si="1"/>
        <v>64670</v>
      </c>
      <c r="G19" s="35">
        <f t="shared" si="2"/>
        <v>5779</v>
      </c>
      <c r="H19" s="34">
        <f t="shared" si="11"/>
        <v>58892</v>
      </c>
      <c r="I19" s="37">
        <v>0</v>
      </c>
      <c r="J19" s="37">
        <f t="shared" si="3"/>
        <v>64670</v>
      </c>
    </row>
    <row r="20" spans="1:10" x14ac:dyDescent="0.25">
      <c r="A20" s="32">
        <v>27</v>
      </c>
      <c r="B20" s="33">
        <f t="shared" si="9"/>
        <v>38760</v>
      </c>
      <c r="C20" s="34">
        <f t="shared" si="8"/>
        <v>65750</v>
      </c>
      <c r="D20" s="35">
        <f t="shared" si="0"/>
        <v>11893</v>
      </c>
      <c r="E20" s="34">
        <f t="shared" si="10"/>
        <v>53857</v>
      </c>
      <c r="F20" s="36">
        <f t="shared" si="1"/>
        <v>65750</v>
      </c>
      <c r="G20" s="35">
        <f t="shared" si="2"/>
        <v>5947</v>
      </c>
      <c r="H20" s="34">
        <f t="shared" si="11"/>
        <v>59804</v>
      </c>
      <c r="I20" s="37">
        <v>0</v>
      </c>
      <c r="J20" s="37">
        <f t="shared" si="3"/>
        <v>65750</v>
      </c>
    </row>
    <row r="21" spans="1:10" x14ac:dyDescent="0.25">
      <c r="A21" s="32">
        <v>28</v>
      </c>
      <c r="B21" s="33">
        <f t="shared" si="9"/>
        <v>39360</v>
      </c>
      <c r="C21" s="34">
        <f t="shared" si="8"/>
        <v>66830</v>
      </c>
      <c r="D21" s="35">
        <f t="shared" si="0"/>
        <v>12229</v>
      </c>
      <c r="E21" s="34">
        <f t="shared" si="10"/>
        <v>54601</v>
      </c>
      <c r="F21" s="36">
        <f t="shared" si="1"/>
        <v>66830</v>
      </c>
      <c r="G21" s="35">
        <f t="shared" si="2"/>
        <v>6115</v>
      </c>
      <c r="H21" s="34">
        <f t="shared" si="11"/>
        <v>60716</v>
      </c>
      <c r="I21" s="37">
        <v>0</v>
      </c>
      <c r="J21" s="37">
        <f t="shared" si="3"/>
        <v>66830</v>
      </c>
    </row>
    <row r="22" spans="1:10" x14ac:dyDescent="0.25">
      <c r="A22" s="32">
        <v>29</v>
      </c>
      <c r="B22" s="33">
        <f t="shared" si="9"/>
        <v>39960</v>
      </c>
      <c r="C22" s="34">
        <f t="shared" si="8"/>
        <v>67910</v>
      </c>
      <c r="D22" s="35">
        <f t="shared" si="0"/>
        <v>12565</v>
      </c>
      <c r="E22" s="34">
        <f t="shared" si="10"/>
        <v>55345</v>
      </c>
      <c r="F22" s="36">
        <f t="shared" si="1"/>
        <v>67910</v>
      </c>
      <c r="G22" s="35">
        <f t="shared" si="2"/>
        <v>6283</v>
      </c>
      <c r="H22" s="34">
        <f t="shared" si="11"/>
        <v>61628</v>
      </c>
      <c r="I22" s="37">
        <v>0</v>
      </c>
      <c r="J22" s="37">
        <f t="shared" si="3"/>
        <v>67910</v>
      </c>
    </row>
    <row r="23" spans="1:10" ht="15.75" thickBot="1" x14ac:dyDescent="0.3">
      <c r="A23" s="38">
        <v>30</v>
      </c>
      <c r="B23" s="39">
        <f t="shared" si="9"/>
        <v>40560</v>
      </c>
      <c r="C23" s="40">
        <f t="shared" si="8"/>
        <v>68990</v>
      </c>
      <c r="D23" s="41">
        <f t="shared" si="0"/>
        <v>12901</v>
      </c>
      <c r="E23" s="40">
        <f t="shared" si="10"/>
        <v>56089</v>
      </c>
      <c r="F23" s="42">
        <f t="shared" si="1"/>
        <v>68990</v>
      </c>
      <c r="G23" s="41">
        <f t="shared" si="2"/>
        <v>6451</v>
      </c>
      <c r="H23" s="40">
        <f t="shared" si="11"/>
        <v>62540</v>
      </c>
      <c r="I23" s="43">
        <v>0</v>
      </c>
      <c r="J23" s="43">
        <f t="shared" si="3"/>
        <v>68990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AA290"/>
  </sheetPr>
  <dimension ref="A1:J24"/>
  <sheetViews>
    <sheetView workbookViewId="0">
      <selection activeCell="L17" sqref="L17"/>
    </sheetView>
  </sheetViews>
  <sheetFormatPr defaultRowHeight="15" x14ac:dyDescent="0.25"/>
  <cols>
    <col min="2" max="10" width="12.7109375" customWidth="1"/>
  </cols>
  <sheetData>
    <row r="1" spans="1:10" ht="23.25" x14ac:dyDescent="0.35">
      <c r="A1" s="47" t="s">
        <v>24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23</v>
      </c>
      <c r="B5" s="28">
        <v>36360</v>
      </c>
      <c r="C5" s="29">
        <v>61430</v>
      </c>
      <c r="D5" s="28">
        <f>C5-E5</f>
        <v>10549</v>
      </c>
      <c r="E5" s="29">
        <v>50881</v>
      </c>
      <c r="F5" s="30">
        <f>C5</f>
        <v>61430</v>
      </c>
      <c r="G5" s="28">
        <f t="shared" ref="G5:G8" si="0">F5-H5+1</f>
        <v>5275</v>
      </c>
      <c r="H5" s="29">
        <v>56156</v>
      </c>
      <c r="I5" s="31">
        <v>0</v>
      </c>
      <c r="J5" s="31">
        <f>F5</f>
        <v>61430</v>
      </c>
    </row>
    <row r="6" spans="1:10" x14ac:dyDescent="0.25">
      <c r="A6" s="32">
        <v>24</v>
      </c>
      <c r="B6" s="33">
        <f>B5+600</f>
        <v>36960</v>
      </c>
      <c r="C6" s="34">
        <f>C5+1080</f>
        <v>62510</v>
      </c>
      <c r="D6" s="35">
        <f t="shared" ref="D6:D24" si="1">C6-E6</f>
        <v>10885</v>
      </c>
      <c r="E6" s="34">
        <v>51625</v>
      </c>
      <c r="F6" s="36">
        <f t="shared" ref="F6:F24" si="2">C6</f>
        <v>62510</v>
      </c>
      <c r="G6" s="35">
        <f t="shared" si="0"/>
        <v>5443</v>
      </c>
      <c r="H6" s="34">
        <v>57068</v>
      </c>
      <c r="I6" s="37">
        <v>0</v>
      </c>
      <c r="J6" s="37">
        <f t="shared" ref="J6:J24" si="3">F6</f>
        <v>62510</v>
      </c>
    </row>
    <row r="7" spans="1:10" x14ac:dyDescent="0.25">
      <c r="A7" s="32">
        <v>25</v>
      </c>
      <c r="B7" s="33">
        <f t="shared" ref="B7:B24" si="4">B6+600</f>
        <v>37560</v>
      </c>
      <c r="C7" s="34">
        <f t="shared" ref="C7:C12" si="5">C6+1080</f>
        <v>63590</v>
      </c>
      <c r="D7" s="35">
        <f t="shared" si="1"/>
        <v>11221</v>
      </c>
      <c r="E7" s="34">
        <f>E6+744</f>
        <v>52369</v>
      </c>
      <c r="F7" s="36">
        <f t="shared" si="2"/>
        <v>63590</v>
      </c>
      <c r="G7" s="35">
        <f t="shared" si="0"/>
        <v>5611</v>
      </c>
      <c r="H7" s="34">
        <f>H6+912</f>
        <v>57980</v>
      </c>
      <c r="I7" s="37">
        <v>0</v>
      </c>
      <c r="J7" s="37">
        <f t="shared" si="3"/>
        <v>63590</v>
      </c>
    </row>
    <row r="8" spans="1:10" x14ac:dyDescent="0.25">
      <c r="A8" s="32">
        <v>26</v>
      </c>
      <c r="B8" s="33">
        <f t="shared" si="4"/>
        <v>38160</v>
      </c>
      <c r="C8" s="34">
        <f t="shared" si="5"/>
        <v>64670</v>
      </c>
      <c r="D8" s="35">
        <f t="shared" si="1"/>
        <v>11557</v>
      </c>
      <c r="E8" s="34">
        <f t="shared" ref="E8:E12" si="6">E7+744</f>
        <v>53113</v>
      </c>
      <c r="F8" s="36">
        <f t="shared" si="2"/>
        <v>64670</v>
      </c>
      <c r="G8" s="35">
        <f t="shared" si="0"/>
        <v>5779</v>
      </c>
      <c r="H8" s="34">
        <f t="shared" ref="H8:H12" si="7">H7+912</f>
        <v>58892</v>
      </c>
      <c r="I8" s="37">
        <v>0</v>
      </c>
      <c r="J8" s="37">
        <f t="shared" si="3"/>
        <v>64670</v>
      </c>
    </row>
    <row r="9" spans="1:10" x14ac:dyDescent="0.25">
      <c r="A9" s="32">
        <v>27</v>
      </c>
      <c r="B9" s="33">
        <f t="shared" si="4"/>
        <v>38760</v>
      </c>
      <c r="C9" s="34">
        <f t="shared" si="5"/>
        <v>65750</v>
      </c>
      <c r="D9" s="35">
        <f t="shared" si="1"/>
        <v>11893</v>
      </c>
      <c r="E9" s="34">
        <f t="shared" si="6"/>
        <v>53857</v>
      </c>
      <c r="F9" s="36">
        <f t="shared" si="2"/>
        <v>65750</v>
      </c>
      <c r="G9" s="35">
        <f>F9-H9+1</f>
        <v>5947</v>
      </c>
      <c r="H9" s="34">
        <f t="shared" si="7"/>
        <v>59804</v>
      </c>
      <c r="I9" s="37">
        <v>0</v>
      </c>
      <c r="J9" s="37">
        <f t="shared" si="3"/>
        <v>65750</v>
      </c>
    </row>
    <row r="10" spans="1:10" x14ac:dyDescent="0.25">
      <c r="A10" s="32">
        <v>28</v>
      </c>
      <c r="B10" s="33">
        <f t="shared" si="4"/>
        <v>39360</v>
      </c>
      <c r="C10" s="34">
        <f t="shared" si="5"/>
        <v>66830</v>
      </c>
      <c r="D10" s="35">
        <f t="shared" si="1"/>
        <v>12229</v>
      </c>
      <c r="E10" s="34">
        <f t="shared" si="6"/>
        <v>54601</v>
      </c>
      <c r="F10" s="36">
        <f t="shared" si="2"/>
        <v>66830</v>
      </c>
      <c r="G10" s="35">
        <f>F10-H10+1</f>
        <v>6115</v>
      </c>
      <c r="H10" s="34">
        <f t="shared" si="7"/>
        <v>60716</v>
      </c>
      <c r="I10" s="37">
        <v>0</v>
      </c>
      <c r="J10" s="37">
        <f t="shared" si="3"/>
        <v>66830</v>
      </c>
    </row>
    <row r="11" spans="1:10" x14ac:dyDescent="0.25">
      <c r="A11" s="32">
        <v>29</v>
      </c>
      <c r="B11" s="33">
        <f t="shared" si="4"/>
        <v>39960</v>
      </c>
      <c r="C11" s="34">
        <f t="shared" si="5"/>
        <v>67910</v>
      </c>
      <c r="D11" s="35">
        <f t="shared" si="1"/>
        <v>12565</v>
      </c>
      <c r="E11" s="34">
        <f t="shared" si="6"/>
        <v>55345</v>
      </c>
      <c r="F11" s="36">
        <f t="shared" si="2"/>
        <v>67910</v>
      </c>
      <c r="G11" s="35">
        <f>F11-H11+1</f>
        <v>6283</v>
      </c>
      <c r="H11" s="34">
        <f t="shared" si="7"/>
        <v>61628</v>
      </c>
      <c r="I11" s="37">
        <v>0</v>
      </c>
      <c r="J11" s="37">
        <f t="shared" si="3"/>
        <v>67910</v>
      </c>
    </row>
    <row r="12" spans="1:10" x14ac:dyDescent="0.25">
      <c r="A12" s="32">
        <v>30</v>
      </c>
      <c r="B12" s="33">
        <f t="shared" si="4"/>
        <v>40560</v>
      </c>
      <c r="C12" s="34">
        <f t="shared" si="5"/>
        <v>68990</v>
      </c>
      <c r="D12" s="35">
        <f t="shared" si="1"/>
        <v>12901</v>
      </c>
      <c r="E12" s="34">
        <f t="shared" si="6"/>
        <v>56089</v>
      </c>
      <c r="F12" s="36">
        <f t="shared" si="2"/>
        <v>68990</v>
      </c>
      <c r="G12" s="35">
        <f>F12-H12+1</f>
        <v>6451</v>
      </c>
      <c r="H12" s="34">
        <f t="shared" si="7"/>
        <v>62540</v>
      </c>
      <c r="I12" s="37">
        <v>0</v>
      </c>
      <c r="J12" s="37">
        <f t="shared" si="3"/>
        <v>68990</v>
      </c>
    </row>
    <row r="13" spans="1:10" x14ac:dyDescent="0.25">
      <c r="A13" s="32">
        <v>31</v>
      </c>
      <c r="B13" s="33">
        <f t="shared" si="4"/>
        <v>41160</v>
      </c>
      <c r="C13" s="34">
        <f>C12+1280</f>
        <v>70270</v>
      </c>
      <c r="D13" s="35">
        <f t="shared" si="1"/>
        <v>13300</v>
      </c>
      <c r="E13" s="34">
        <v>56970</v>
      </c>
      <c r="F13" s="36">
        <f t="shared" si="2"/>
        <v>70270</v>
      </c>
      <c r="G13" s="35">
        <f t="shared" ref="G13:G23" si="8">F13-H13</f>
        <v>6650</v>
      </c>
      <c r="H13" s="34">
        <f>63620</f>
        <v>63620</v>
      </c>
      <c r="I13" s="37">
        <v>0</v>
      </c>
      <c r="J13" s="37">
        <f t="shared" si="3"/>
        <v>70270</v>
      </c>
    </row>
    <row r="14" spans="1:10" x14ac:dyDescent="0.25">
      <c r="A14" s="32">
        <v>32</v>
      </c>
      <c r="B14" s="33">
        <f t="shared" si="4"/>
        <v>41760</v>
      </c>
      <c r="C14" s="34">
        <f t="shared" ref="C14:C24" si="9">C13+1280</f>
        <v>71550</v>
      </c>
      <c r="D14" s="35">
        <f t="shared" si="1"/>
        <v>13699</v>
      </c>
      <c r="E14" s="34">
        <f>E13+881</f>
        <v>57851</v>
      </c>
      <c r="F14" s="36">
        <f t="shared" si="2"/>
        <v>71550</v>
      </c>
      <c r="G14" s="35">
        <f>F14-H14+1</f>
        <v>6850</v>
      </c>
      <c r="H14" s="34">
        <f>H13+1081</f>
        <v>64701</v>
      </c>
      <c r="I14" s="37">
        <v>0</v>
      </c>
      <c r="J14" s="37">
        <f t="shared" si="3"/>
        <v>71550</v>
      </c>
    </row>
    <row r="15" spans="1:10" x14ac:dyDescent="0.25">
      <c r="A15" s="32">
        <v>33</v>
      </c>
      <c r="B15" s="33">
        <f t="shared" si="4"/>
        <v>42360</v>
      </c>
      <c r="C15" s="34">
        <f t="shared" si="9"/>
        <v>72830</v>
      </c>
      <c r="D15" s="35">
        <f t="shared" si="1"/>
        <v>14098</v>
      </c>
      <c r="E15" s="34">
        <f t="shared" ref="E15:E24" si="10">E14+881</f>
        <v>58732</v>
      </c>
      <c r="F15" s="36">
        <f t="shared" si="2"/>
        <v>72830</v>
      </c>
      <c r="G15" s="35">
        <f t="shared" si="8"/>
        <v>7049</v>
      </c>
      <c r="H15" s="34">
        <f>H14+1080</f>
        <v>65781</v>
      </c>
      <c r="I15" s="37">
        <v>0</v>
      </c>
      <c r="J15" s="37">
        <f t="shared" si="3"/>
        <v>72830</v>
      </c>
    </row>
    <row r="16" spans="1:10" x14ac:dyDescent="0.25">
      <c r="A16" s="32">
        <v>34</v>
      </c>
      <c r="B16" s="33">
        <f t="shared" si="4"/>
        <v>42960</v>
      </c>
      <c r="C16" s="34">
        <f t="shared" si="9"/>
        <v>74110</v>
      </c>
      <c r="D16" s="35">
        <f t="shared" si="1"/>
        <v>14497</v>
      </c>
      <c r="E16" s="34">
        <f t="shared" si="10"/>
        <v>59613</v>
      </c>
      <c r="F16" s="36">
        <f t="shared" si="2"/>
        <v>74110</v>
      </c>
      <c r="G16" s="35">
        <f>F16-H16+1</f>
        <v>7249</v>
      </c>
      <c r="H16" s="34">
        <f t="shared" ref="H16:H22" si="11">H15+1081</f>
        <v>66862</v>
      </c>
      <c r="I16" s="37">
        <v>0</v>
      </c>
      <c r="J16" s="37">
        <f t="shared" si="3"/>
        <v>74110</v>
      </c>
    </row>
    <row r="17" spans="1:10" x14ac:dyDescent="0.25">
      <c r="A17" s="32">
        <v>35</v>
      </c>
      <c r="B17" s="33">
        <f t="shared" si="4"/>
        <v>43560</v>
      </c>
      <c r="C17" s="34">
        <f t="shared" si="9"/>
        <v>75390</v>
      </c>
      <c r="D17" s="35">
        <f t="shared" si="1"/>
        <v>14896</v>
      </c>
      <c r="E17" s="34">
        <f t="shared" si="10"/>
        <v>60494</v>
      </c>
      <c r="F17" s="36">
        <f t="shared" si="2"/>
        <v>75390</v>
      </c>
      <c r="G17" s="35">
        <f t="shared" si="8"/>
        <v>7448</v>
      </c>
      <c r="H17" s="34">
        <f>H16+1080</f>
        <v>67942</v>
      </c>
      <c r="I17" s="37">
        <v>0</v>
      </c>
      <c r="J17" s="37">
        <f t="shared" si="3"/>
        <v>75390</v>
      </c>
    </row>
    <row r="18" spans="1:10" x14ac:dyDescent="0.25">
      <c r="A18" s="32">
        <v>36</v>
      </c>
      <c r="B18" s="33">
        <f t="shared" si="4"/>
        <v>44160</v>
      </c>
      <c r="C18" s="34">
        <f t="shared" si="9"/>
        <v>76670</v>
      </c>
      <c r="D18" s="35">
        <f t="shared" si="1"/>
        <v>15295</v>
      </c>
      <c r="E18" s="34">
        <f t="shared" si="10"/>
        <v>61375</v>
      </c>
      <c r="F18" s="36">
        <f t="shared" si="2"/>
        <v>76670</v>
      </c>
      <c r="G18" s="35">
        <f>F18-H18+1</f>
        <v>7648</v>
      </c>
      <c r="H18" s="34">
        <f t="shared" si="11"/>
        <v>69023</v>
      </c>
      <c r="I18" s="37">
        <v>0</v>
      </c>
      <c r="J18" s="37">
        <f t="shared" si="3"/>
        <v>76670</v>
      </c>
    </row>
    <row r="19" spans="1:10" x14ac:dyDescent="0.25">
      <c r="A19" s="32">
        <v>37</v>
      </c>
      <c r="B19" s="33">
        <f t="shared" si="4"/>
        <v>44760</v>
      </c>
      <c r="C19" s="34">
        <f t="shared" si="9"/>
        <v>77950</v>
      </c>
      <c r="D19" s="35">
        <f t="shared" si="1"/>
        <v>15694</v>
      </c>
      <c r="E19" s="34">
        <f t="shared" si="10"/>
        <v>62256</v>
      </c>
      <c r="F19" s="36">
        <f t="shared" si="2"/>
        <v>77950</v>
      </c>
      <c r="G19" s="35">
        <f t="shared" si="8"/>
        <v>7847</v>
      </c>
      <c r="H19" s="34">
        <f>H18+1080</f>
        <v>70103</v>
      </c>
      <c r="I19" s="37">
        <v>0</v>
      </c>
      <c r="J19" s="37">
        <f t="shared" si="3"/>
        <v>77950</v>
      </c>
    </row>
    <row r="20" spans="1:10" x14ac:dyDescent="0.25">
      <c r="A20" s="32">
        <v>38</v>
      </c>
      <c r="B20" s="33">
        <f t="shared" si="4"/>
        <v>45360</v>
      </c>
      <c r="C20" s="34">
        <f t="shared" si="9"/>
        <v>79230</v>
      </c>
      <c r="D20" s="35">
        <f t="shared" si="1"/>
        <v>16093</v>
      </c>
      <c r="E20" s="34">
        <f t="shared" si="10"/>
        <v>63137</v>
      </c>
      <c r="F20" s="36">
        <f t="shared" si="2"/>
        <v>79230</v>
      </c>
      <c r="G20" s="35">
        <f>F20-H20+1</f>
        <v>8047</v>
      </c>
      <c r="H20" s="34">
        <f t="shared" si="11"/>
        <v>71184</v>
      </c>
      <c r="I20" s="37">
        <v>0</v>
      </c>
      <c r="J20" s="37">
        <f t="shared" si="3"/>
        <v>79230</v>
      </c>
    </row>
    <row r="21" spans="1:10" x14ac:dyDescent="0.25">
      <c r="A21" s="32">
        <v>39</v>
      </c>
      <c r="B21" s="33">
        <f t="shared" si="4"/>
        <v>45960</v>
      </c>
      <c r="C21" s="34">
        <f t="shared" si="9"/>
        <v>80510</v>
      </c>
      <c r="D21" s="35">
        <f t="shared" si="1"/>
        <v>16492</v>
      </c>
      <c r="E21" s="34">
        <f t="shared" si="10"/>
        <v>64018</v>
      </c>
      <c r="F21" s="36">
        <f t="shared" si="2"/>
        <v>80510</v>
      </c>
      <c r="G21" s="35">
        <f t="shared" si="8"/>
        <v>8246</v>
      </c>
      <c r="H21" s="34">
        <f>H20+1080</f>
        <v>72264</v>
      </c>
      <c r="I21" s="37">
        <v>0</v>
      </c>
      <c r="J21" s="37">
        <f t="shared" si="3"/>
        <v>80510</v>
      </c>
    </row>
    <row r="22" spans="1:10" x14ac:dyDescent="0.25">
      <c r="A22" s="32">
        <v>40</v>
      </c>
      <c r="B22" s="33">
        <f t="shared" si="4"/>
        <v>46560</v>
      </c>
      <c r="C22" s="34">
        <f t="shared" si="9"/>
        <v>81790</v>
      </c>
      <c r="D22" s="35">
        <f t="shared" si="1"/>
        <v>16891</v>
      </c>
      <c r="E22" s="34">
        <f t="shared" si="10"/>
        <v>64899</v>
      </c>
      <c r="F22" s="36">
        <f t="shared" si="2"/>
        <v>81790</v>
      </c>
      <c r="G22" s="35">
        <f>F22-H22+1</f>
        <v>8446</v>
      </c>
      <c r="H22" s="34">
        <f t="shared" si="11"/>
        <v>73345</v>
      </c>
      <c r="I22" s="37">
        <v>0</v>
      </c>
      <c r="J22" s="37">
        <f t="shared" si="3"/>
        <v>81790</v>
      </c>
    </row>
    <row r="23" spans="1:10" x14ac:dyDescent="0.25">
      <c r="A23" s="32">
        <v>41</v>
      </c>
      <c r="B23" s="33">
        <f t="shared" si="4"/>
        <v>47160</v>
      </c>
      <c r="C23" s="34">
        <f t="shared" si="9"/>
        <v>83070</v>
      </c>
      <c r="D23" s="35">
        <f t="shared" si="1"/>
        <v>17290</v>
      </c>
      <c r="E23" s="34">
        <f t="shared" si="10"/>
        <v>65780</v>
      </c>
      <c r="F23" s="36">
        <f t="shared" si="2"/>
        <v>83070</v>
      </c>
      <c r="G23" s="35">
        <f t="shared" si="8"/>
        <v>8645</v>
      </c>
      <c r="H23" s="34">
        <f>H22+1080</f>
        <v>74425</v>
      </c>
      <c r="I23" s="37">
        <v>0</v>
      </c>
      <c r="J23" s="37">
        <f t="shared" si="3"/>
        <v>83070</v>
      </c>
    </row>
    <row r="24" spans="1:10" ht="15.75" thickBot="1" x14ac:dyDescent="0.3">
      <c r="A24" s="38">
        <v>42</v>
      </c>
      <c r="B24" s="39">
        <f t="shared" si="4"/>
        <v>47760</v>
      </c>
      <c r="C24" s="40">
        <f t="shared" si="9"/>
        <v>84350</v>
      </c>
      <c r="D24" s="41">
        <f t="shared" si="1"/>
        <v>17689</v>
      </c>
      <c r="E24" s="40">
        <f t="shared" si="10"/>
        <v>66661</v>
      </c>
      <c r="F24" s="42">
        <f t="shared" si="2"/>
        <v>84350</v>
      </c>
      <c r="G24" s="41">
        <f>F24-H24+1</f>
        <v>8845</v>
      </c>
      <c r="H24" s="40">
        <f>H23+1081</f>
        <v>75506</v>
      </c>
      <c r="I24" s="43">
        <v>0</v>
      </c>
      <c r="J24" s="43">
        <f t="shared" si="3"/>
        <v>84350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20"/>
  <sheetViews>
    <sheetView workbookViewId="0">
      <selection activeCell="A5" sqref="A5:XFD20"/>
    </sheetView>
  </sheetViews>
  <sheetFormatPr defaultRowHeight="15" x14ac:dyDescent="0.25"/>
  <cols>
    <col min="2" max="10" width="12.140625" customWidth="1"/>
  </cols>
  <sheetData>
    <row r="1" spans="1:10" ht="23.25" x14ac:dyDescent="0.35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</v>
      </c>
      <c r="B5" s="28">
        <v>42600</v>
      </c>
      <c r="C5" s="29">
        <v>72650</v>
      </c>
      <c r="D5" s="28">
        <f>C5-E5</f>
        <v>14035</v>
      </c>
      <c r="E5" s="29">
        <v>58615</v>
      </c>
      <c r="F5" s="30">
        <f>C5</f>
        <v>72650</v>
      </c>
      <c r="G5" s="28">
        <f>F5-H5+1</f>
        <v>7018</v>
      </c>
      <c r="H5" s="29">
        <v>65633</v>
      </c>
      <c r="I5" s="31">
        <v>0</v>
      </c>
      <c r="J5" s="31">
        <f>F5</f>
        <v>72650</v>
      </c>
    </row>
    <row r="6" spans="1:10" x14ac:dyDescent="0.25">
      <c r="A6" s="32">
        <v>2</v>
      </c>
      <c r="B6" s="33">
        <v>43355</v>
      </c>
      <c r="C6" s="34">
        <f>C5+1360</f>
        <v>74010</v>
      </c>
      <c r="D6" s="35">
        <f>C6-E6+1</f>
        <v>14459</v>
      </c>
      <c r="E6" s="34">
        <v>59552</v>
      </c>
      <c r="F6" s="36">
        <f t="shared" ref="F6:F19" si="0">C6</f>
        <v>74010</v>
      </c>
      <c r="G6" s="35">
        <f t="shared" ref="G6:G20" si="1">F6-H6</f>
        <v>7229</v>
      </c>
      <c r="H6" s="34">
        <v>66781</v>
      </c>
      <c r="I6" s="37">
        <v>0</v>
      </c>
      <c r="J6" s="37">
        <f t="shared" ref="J6:J20" si="2">F6</f>
        <v>74010</v>
      </c>
    </row>
    <row r="7" spans="1:10" x14ac:dyDescent="0.25">
      <c r="A7" s="32">
        <v>3</v>
      </c>
      <c r="B7" s="33">
        <f>B6+755</f>
        <v>44110</v>
      </c>
      <c r="C7" s="34">
        <f t="shared" ref="C7:C20" si="3">C6+1360</f>
        <v>75370</v>
      </c>
      <c r="D7" s="35">
        <f t="shared" ref="D7:D19" si="4">C7-E7</f>
        <v>14882</v>
      </c>
      <c r="E7" s="34">
        <f>E6+936</f>
        <v>60488</v>
      </c>
      <c r="F7" s="36">
        <f t="shared" si="0"/>
        <v>75370</v>
      </c>
      <c r="G7" s="35">
        <f t="shared" si="1"/>
        <v>7441</v>
      </c>
      <c r="H7" s="34">
        <f>H6+1148</f>
        <v>67929</v>
      </c>
      <c r="I7" s="37">
        <v>0</v>
      </c>
      <c r="J7" s="37">
        <f t="shared" si="2"/>
        <v>75370</v>
      </c>
    </row>
    <row r="8" spans="1:10" x14ac:dyDescent="0.25">
      <c r="A8" s="32">
        <v>4</v>
      </c>
      <c r="B8" s="33">
        <f t="shared" ref="B8:B20" si="5">B7+755</f>
        <v>44865</v>
      </c>
      <c r="C8" s="34">
        <f t="shared" si="3"/>
        <v>76730</v>
      </c>
      <c r="D8" s="35">
        <f>C8-E8+1</f>
        <v>15306</v>
      </c>
      <c r="E8" s="34">
        <f>E7+937</f>
        <v>61425</v>
      </c>
      <c r="F8" s="36">
        <f t="shared" si="0"/>
        <v>76730</v>
      </c>
      <c r="G8" s="35">
        <f t="shared" si="1"/>
        <v>7653</v>
      </c>
      <c r="H8" s="34">
        <f t="shared" ref="H8:H20" si="6">H7+1148</f>
        <v>69077</v>
      </c>
      <c r="I8" s="37">
        <v>0</v>
      </c>
      <c r="J8" s="37">
        <f t="shared" si="2"/>
        <v>76730</v>
      </c>
    </row>
    <row r="9" spans="1:10" x14ac:dyDescent="0.25">
      <c r="A9" s="32">
        <v>5</v>
      </c>
      <c r="B9" s="33">
        <f t="shared" si="5"/>
        <v>45620</v>
      </c>
      <c r="C9" s="34">
        <f t="shared" si="3"/>
        <v>78090</v>
      </c>
      <c r="D9" s="35">
        <f t="shared" si="4"/>
        <v>15729</v>
      </c>
      <c r="E9" s="34">
        <f>E8+936</f>
        <v>62361</v>
      </c>
      <c r="F9" s="36">
        <f t="shared" si="0"/>
        <v>78090</v>
      </c>
      <c r="G9" s="35">
        <f>F9-H9+1</f>
        <v>7865</v>
      </c>
      <c r="H9" s="34">
        <f>H8+1148+1</f>
        <v>70226</v>
      </c>
      <c r="I9" s="37">
        <v>0</v>
      </c>
      <c r="J9" s="37">
        <f t="shared" si="2"/>
        <v>78090</v>
      </c>
    </row>
    <row r="10" spans="1:10" x14ac:dyDescent="0.25">
      <c r="A10" s="32">
        <v>6</v>
      </c>
      <c r="B10" s="33">
        <f t="shared" si="5"/>
        <v>46375</v>
      </c>
      <c r="C10" s="34">
        <f t="shared" si="3"/>
        <v>79450</v>
      </c>
      <c r="D10" s="35">
        <f>C10-E10+1</f>
        <v>16153</v>
      </c>
      <c r="E10" s="34">
        <f t="shared" ref="E10:E20" si="7">E9+937</f>
        <v>63298</v>
      </c>
      <c r="F10" s="36">
        <f t="shared" si="0"/>
        <v>79450</v>
      </c>
      <c r="G10" s="35">
        <f t="shared" si="1"/>
        <v>8076</v>
      </c>
      <c r="H10" s="34">
        <f t="shared" si="6"/>
        <v>71374</v>
      </c>
      <c r="I10" s="37">
        <v>0</v>
      </c>
      <c r="J10" s="37">
        <f t="shared" si="2"/>
        <v>79450</v>
      </c>
    </row>
    <row r="11" spans="1:10" x14ac:dyDescent="0.25">
      <c r="A11" s="32">
        <v>7</v>
      </c>
      <c r="B11" s="33">
        <f t="shared" si="5"/>
        <v>47130</v>
      </c>
      <c r="C11" s="34">
        <f t="shared" si="3"/>
        <v>80810</v>
      </c>
      <c r="D11" s="35">
        <f t="shared" si="4"/>
        <v>16576</v>
      </c>
      <c r="E11" s="34">
        <f>E10+936</f>
        <v>64234</v>
      </c>
      <c r="F11" s="36">
        <f t="shared" si="0"/>
        <v>80810</v>
      </c>
      <c r="G11" s="35">
        <f t="shared" si="1"/>
        <v>8288</v>
      </c>
      <c r="H11" s="34">
        <f t="shared" si="6"/>
        <v>72522</v>
      </c>
      <c r="I11" s="37">
        <v>0</v>
      </c>
      <c r="J11" s="37">
        <f t="shared" si="2"/>
        <v>80810</v>
      </c>
    </row>
    <row r="12" spans="1:10" x14ac:dyDescent="0.25">
      <c r="A12" s="32">
        <v>8</v>
      </c>
      <c r="B12" s="33">
        <f t="shared" si="5"/>
        <v>47885</v>
      </c>
      <c r="C12" s="34">
        <f t="shared" si="3"/>
        <v>82170</v>
      </c>
      <c r="D12" s="35">
        <f>C12-E12+1</f>
        <v>17000</v>
      </c>
      <c r="E12" s="34">
        <f>E11+937</f>
        <v>65171</v>
      </c>
      <c r="F12" s="36">
        <f t="shared" si="0"/>
        <v>82170</v>
      </c>
      <c r="G12" s="35">
        <f t="shared" si="1"/>
        <v>8500</v>
      </c>
      <c r="H12" s="34">
        <f t="shared" si="6"/>
        <v>73670</v>
      </c>
      <c r="I12" s="37">
        <v>0</v>
      </c>
      <c r="J12" s="37">
        <f t="shared" si="2"/>
        <v>82170</v>
      </c>
    </row>
    <row r="13" spans="1:10" x14ac:dyDescent="0.25">
      <c r="A13" s="32">
        <v>9</v>
      </c>
      <c r="B13" s="33">
        <f t="shared" si="5"/>
        <v>48640</v>
      </c>
      <c r="C13" s="34">
        <f t="shared" si="3"/>
        <v>83530</v>
      </c>
      <c r="D13" s="35">
        <f t="shared" si="4"/>
        <v>17423</v>
      </c>
      <c r="E13" s="34">
        <f>E12+936</f>
        <v>66107</v>
      </c>
      <c r="F13" s="36">
        <f t="shared" si="0"/>
        <v>83530</v>
      </c>
      <c r="G13" s="35">
        <f>F13-H13+1</f>
        <v>8712</v>
      </c>
      <c r="H13" s="34">
        <f>H12+1148+1</f>
        <v>74819</v>
      </c>
      <c r="I13" s="37">
        <v>0</v>
      </c>
      <c r="J13" s="37">
        <f t="shared" si="2"/>
        <v>83530</v>
      </c>
    </row>
    <row r="14" spans="1:10" x14ac:dyDescent="0.25">
      <c r="A14" s="32">
        <v>10</v>
      </c>
      <c r="B14" s="33">
        <f t="shared" si="5"/>
        <v>49395</v>
      </c>
      <c r="C14" s="34">
        <f t="shared" si="3"/>
        <v>84890</v>
      </c>
      <c r="D14" s="35">
        <f>C14-E14+1</f>
        <v>17847</v>
      </c>
      <c r="E14" s="34">
        <f>E13+937</f>
        <v>67044</v>
      </c>
      <c r="F14" s="36">
        <f t="shared" si="0"/>
        <v>84890</v>
      </c>
      <c r="G14" s="35">
        <f t="shared" si="1"/>
        <v>8923</v>
      </c>
      <c r="H14" s="34">
        <f t="shared" si="6"/>
        <v>75967</v>
      </c>
      <c r="I14" s="37">
        <v>0</v>
      </c>
      <c r="J14" s="37">
        <f t="shared" si="2"/>
        <v>84890</v>
      </c>
    </row>
    <row r="15" spans="1:10" x14ac:dyDescent="0.25">
      <c r="A15" s="32">
        <v>11</v>
      </c>
      <c r="B15" s="33">
        <f t="shared" si="5"/>
        <v>50150</v>
      </c>
      <c r="C15" s="34">
        <f t="shared" si="3"/>
        <v>86250</v>
      </c>
      <c r="D15" s="35">
        <f t="shared" si="4"/>
        <v>18270</v>
      </c>
      <c r="E15" s="34">
        <f>E14+936</f>
        <v>67980</v>
      </c>
      <c r="F15" s="36">
        <f t="shared" si="0"/>
        <v>86250</v>
      </c>
      <c r="G15" s="35">
        <f t="shared" si="1"/>
        <v>9135</v>
      </c>
      <c r="H15" s="34">
        <f t="shared" si="6"/>
        <v>77115</v>
      </c>
      <c r="I15" s="37">
        <v>0</v>
      </c>
      <c r="J15" s="37">
        <f t="shared" si="2"/>
        <v>86250</v>
      </c>
    </row>
    <row r="16" spans="1:10" x14ac:dyDescent="0.25">
      <c r="A16" s="32">
        <v>12</v>
      </c>
      <c r="B16" s="33">
        <f t="shared" si="5"/>
        <v>50905</v>
      </c>
      <c r="C16" s="34">
        <f t="shared" si="3"/>
        <v>87610</v>
      </c>
      <c r="D16" s="35">
        <f>C16-E16+1</f>
        <v>18694</v>
      </c>
      <c r="E16" s="34">
        <f t="shared" si="7"/>
        <v>68917</v>
      </c>
      <c r="F16" s="36">
        <f t="shared" si="0"/>
        <v>87610</v>
      </c>
      <c r="G16" s="35">
        <f t="shared" si="1"/>
        <v>9347</v>
      </c>
      <c r="H16" s="34">
        <f t="shared" si="6"/>
        <v>78263</v>
      </c>
      <c r="I16" s="37">
        <v>0</v>
      </c>
      <c r="J16" s="37">
        <f t="shared" si="2"/>
        <v>87610</v>
      </c>
    </row>
    <row r="17" spans="1:10" x14ac:dyDescent="0.25">
      <c r="A17" s="32">
        <v>13</v>
      </c>
      <c r="B17" s="33">
        <f t="shared" si="5"/>
        <v>51660</v>
      </c>
      <c r="C17" s="34">
        <f t="shared" si="3"/>
        <v>88970</v>
      </c>
      <c r="D17" s="35">
        <f t="shared" si="4"/>
        <v>19117</v>
      </c>
      <c r="E17" s="34">
        <f>E16+936</f>
        <v>69853</v>
      </c>
      <c r="F17" s="36">
        <f t="shared" si="0"/>
        <v>88970</v>
      </c>
      <c r="G17" s="35">
        <f>F17-H17+1</f>
        <v>9559</v>
      </c>
      <c r="H17" s="34">
        <f>H16+1148+1</f>
        <v>79412</v>
      </c>
      <c r="I17" s="37">
        <v>0</v>
      </c>
      <c r="J17" s="37">
        <f t="shared" si="2"/>
        <v>88970</v>
      </c>
    </row>
    <row r="18" spans="1:10" x14ac:dyDescent="0.25">
      <c r="A18" s="32">
        <v>14</v>
      </c>
      <c r="B18" s="33">
        <f t="shared" si="5"/>
        <v>52415</v>
      </c>
      <c r="C18" s="34">
        <f t="shared" si="3"/>
        <v>90330</v>
      </c>
      <c r="D18" s="35">
        <f>C18-E18+1</f>
        <v>19541</v>
      </c>
      <c r="E18" s="34">
        <f t="shared" si="7"/>
        <v>70790</v>
      </c>
      <c r="F18" s="36">
        <f t="shared" si="0"/>
        <v>90330</v>
      </c>
      <c r="G18" s="35">
        <f t="shared" si="1"/>
        <v>9770</v>
      </c>
      <c r="H18" s="34">
        <f t="shared" si="6"/>
        <v>80560</v>
      </c>
      <c r="I18" s="37">
        <v>0</v>
      </c>
      <c r="J18" s="37">
        <f t="shared" si="2"/>
        <v>90330</v>
      </c>
    </row>
    <row r="19" spans="1:10" x14ac:dyDescent="0.25">
      <c r="A19" s="32">
        <v>15</v>
      </c>
      <c r="B19" s="33">
        <f t="shared" si="5"/>
        <v>53170</v>
      </c>
      <c r="C19" s="34">
        <f t="shared" si="3"/>
        <v>91690</v>
      </c>
      <c r="D19" s="35">
        <f t="shared" si="4"/>
        <v>19964</v>
      </c>
      <c r="E19" s="34">
        <f>E18+936</f>
        <v>71726</v>
      </c>
      <c r="F19" s="36">
        <f t="shared" si="0"/>
        <v>91690</v>
      </c>
      <c r="G19" s="35">
        <f t="shared" si="1"/>
        <v>9982</v>
      </c>
      <c r="H19" s="34">
        <f t="shared" si="6"/>
        <v>81708</v>
      </c>
      <c r="I19" s="37">
        <v>0</v>
      </c>
      <c r="J19" s="37">
        <f t="shared" si="2"/>
        <v>91690</v>
      </c>
    </row>
    <row r="20" spans="1:10" ht="15.75" thickBot="1" x14ac:dyDescent="0.3">
      <c r="A20" s="38">
        <v>16</v>
      </c>
      <c r="B20" s="39">
        <f t="shared" si="5"/>
        <v>53925</v>
      </c>
      <c r="C20" s="40">
        <f t="shared" si="3"/>
        <v>93050</v>
      </c>
      <c r="D20" s="41">
        <f>C20-E20+1</f>
        <v>20388</v>
      </c>
      <c r="E20" s="40">
        <f t="shared" si="7"/>
        <v>72663</v>
      </c>
      <c r="F20" s="42">
        <f>C20</f>
        <v>93050</v>
      </c>
      <c r="G20" s="41">
        <f t="shared" si="1"/>
        <v>10194</v>
      </c>
      <c r="H20" s="40">
        <f t="shared" si="6"/>
        <v>82856</v>
      </c>
      <c r="I20" s="43">
        <v>0</v>
      </c>
      <c r="J20" s="43">
        <f t="shared" si="2"/>
        <v>93050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J22"/>
  <sheetViews>
    <sheetView workbookViewId="0">
      <selection activeCell="G20" sqref="G20"/>
    </sheetView>
  </sheetViews>
  <sheetFormatPr defaultRowHeight="15" x14ac:dyDescent="0.25"/>
  <cols>
    <col min="2" max="10" width="12.28515625" customWidth="1"/>
  </cols>
  <sheetData>
    <row r="1" spans="1:10" ht="23.25" x14ac:dyDescent="0.35">
      <c r="A1" s="47" t="s">
        <v>26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12</v>
      </c>
      <c r="B5" s="28">
        <v>51285</v>
      </c>
      <c r="C5" s="29">
        <v>88290</v>
      </c>
      <c r="D5" s="28">
        <f>C5-E5+1</f>
        <v>18904</v>
      </c>
      <c r="E5" s="29">
        <v>69387</v>
      </c>
      <c r="F5" s="30">
        <f>C5</f>
        <v>88290</v>
      </c>
      <c r="G5" s="28">
        <f>F5-H5</f>
        <v>9452</v>
      </c>
      <c r="H5" s="29">
        <v>78838</v>
      </c>
      <c r="I5" s="31">
        <v>0</v>
      </c>
      <c r="J5" s="31">
        <f>F5</f>
        <v>88290</v>
      </c>
    </row>
    <row r="6" spans="1:10" x14ac:dyDescent="0.25">
      <c r="A6" s="32">
        <v>13</v>
      </c>
      <c r="B6" s="33">
        <v>52420</v>
      </c>
      <c r="C6" s="34">
        <f>C5+2040</f>
        <v>90330</v>
      </c>
      <c r="D6" s="35">
        <f t="shared" ref="D6:D22" si="0">C6-E6</f>
        <v>19537</v>
      </c>
      <c r="E6" s="34">
        <v>70793</v>
      </c>
      <c r="F6" s="36">
        <f t="shared" ref="F6:F22" si="1">C6</f>
        <v>90330</v>
      </c>
      <c r="G6" s="35">
        <f>F6-H6+1</f>
        <v>9769</v>
      </c>
      <c r="H6" s="34">
        <v>80562</v>
      </c>
      <c r="I6" s="37">
        <v>0</v>
      </c>
      <c r="J6" s="37">
        <f t="shared" ref="J6:J22" si="2">F6</f>
        <v>90330</v>
      </c>
    </row>
    <row r="7" spans="1:10" x14ac:dyDescent="0.25">
      <c r="A7" s="32">
        <v>14</v>
      </c>
      <c r="B7" s="33">
        <f>B6+1135</f>
        <v>53555</v>
      </c>
      <c r="C7" s="34">
        <f t="shared" ref="C7:C22" si="3">C6+2040</f>
        <v>92370</v>
      </c>
      <c r="D7" s="35">
        <f>C7-E7+1</f>
        <v>20171</v>
      </c>
      <c r="E7" s="34">
        <f>E6+1406+1</f>
        <v>72200</v>
      </c>
      <c r="F7" s="36">
        <f t="shared" si="1"/>
        <v>92370</v>
      </c>
      <c r="G7" s="35">
        <f t="shared" ref="G7:G21" si="4">F7-H7</f>
        <v>10085</v>
      </c>
      <c r="H7" s="34">
        <f>H6+1723</f>
        <v>82285</v>
      </c>
      <c r="I7" s="37">
        <v>0</v>
      </c>
      <c r="J7" s="37">
        <f t="shared" si="2"/>
        <v>92370</v>
      </c>
    </row>
    <row r="8" spans="1:10" x14ac:dyDescent="0.25">
      <c r="A8" s="32">
        <v>15</v>
      </c>
      <c r="B8" s="33">
        <f t="shared" ref="B8:B22" si="5">B7+1135</f>
        <v>54690</v>
      </c>
      <c r="C8" s="34">
        <f t="shared" si="3"/>
        <v>94410</v>
      </c>
      <c r="D8" s="35">
        <f t="shared" si="0"/>
        <v>20804</v>
      </c>
      <c r="E8" s="34">
        <f>E7+1406</f>
        <v>73606</v>
      </c>
      <c r="F8" s="36">
        <f t="shared" si="1"/>
        <v>94410</v>
      </c>
      <c r="G8" s="35">
        <f t="shared" si="4"/>
        <v>10402</v>
      </c>
      <c r="H8" s="34">
        <f t="shared" ref="H8:H21" si="6">H7+1723</f>
        <v>84008</v>
      </c>
      <c r="I8" s="37">
        <v>0</v>
      </c>
      <c r="J8" s="37">
        <f t="shared" si="2"/>
        <v>94410</v>
      </c>
    </row>
    <row r="9" spans="1:10" x14ac:dyDescent="0.25">
      <c r="A9" s="32">
        <v>16</v>
      </c>
      <c r="B9" s="33">
        <f t="shared" si="5"/>
        <v>55825</v>
      </c>
      <c r="C9" s="34">
        <f t="shared" si="3"/>
        <v>96450</v>
      </c>
      <c r="D9" s="35">
        <f>C9-E9+1</f>
        <v>21438</v>
      </c>
      <c r="E9" s="34">
        <f t="shared" ref="E9:E21" si="7">E8+1406+1</f>
        <v>75013</v>
      </c>
      <c r="F9" s="36">
        <f t="shared" si="1"/>
        <v>96450</v>
      </c>
      <c r="G9" s="35">
        <f t="shared" si="4"/>
        <v>10719</v>
      </c>
      <c r="H9" s="34">
        <f t="shared" si="6"/>
        <v>85731</v>
      </c>
      <c r="I9" s="37">
        <v>0</v>
      </c>
      <c r="J9" s="37">
        <f t="shared" si="2"/>
        <v>96450</v>
      </c>
    </row>
    <row r="10" spans="1:10" x14ac:dyDescent="0.25">
      <c r="A10" s="32">
        <v>17</v>
      </c>
      <c r="B10" s="33">
        <f t="shared" si="5"/>
        <v>56960</v>
      </c>
      <c r="C10" s="34">
        <f t="shared" si="3"/>
        <v>98490</v>
      </c>
      <c r="D10" s="35">
        <f t="shared" si="0"/>
        <v>22071</v>
      </c>
      <c r="E10" s="34">
        <f>E9+1406</f>
        <v>76419</v>
      </c>
      <c r="F10" s="36">
        <f t="shared" si="1"/>
        <v>98490</v>
      </c>
      <c r="G10" s="35">
        <f>F10-H10+1</f>
        <v>11036</v>
      </c>
      <c r="H10" s="34">
        <f>H9+1723+1</f>
        <v>87455</v>
      </c>
      <c r="I10" s="37">
        <v>0</v>
      </c>
      <c r="J10" s="37">
        <f t="shared" si="2"/>
        <v>98490</v>
      </c>
    </row>
    <row r="11" spans="1:10" x14ac:dyDescent="0.25">
      <c r="A11" s="32">
        <v>18</v>
      </c>
      <c r="B11" s="33">
        <f t="shared" si="5"/>
        <v>58095</v>
      </c>
      <c r="C11" s="34">
        <f t="shared" si="3"/>
        <v>100530</v>
      </c>
      <c r="D11" s="35">
        <f>C11-E11+1</f>
        <v>22705</v>
      </c>
      <c r="E11" s="34">
        <f t="shared" si="7"/>
        <v>77826</v>
      </c>
      <c r="F11" s="36">
        <f t="shared" si="1"/>
        <v>100530</v>
      </c>
      <c r="G11" s="35">
        <f t="shared" si="4"/>
        <v>11352</v>
      </c>
      <c r="H11" s="34">
        <f t="shared" si="6"/>
        <v>89178</v>
      </c>
      <c r="I11" s="37">
        <v>0</v>
      </c>
      <c r="J11" s="37">
        <f t="shared" si="2"/>
        <v>100530</v>
      </c>
    </row>
    <row r="12" spans="1:10" x14ac:dyDescent="0.25">
      <c r="A12" s="32">
        <v>19</v>
      </c>
      <c r="B12" s="33">
        <f t="shared" si="5"/>
        <v>59230</v>
      </c>
      <c r="C12" s="34">
        <f t="shared" si="3"/>
        <v>102570</v>
      </c>
      <c r="D12" s="35">
        <f t="shared" si="0"/>
        <v>23338</v>
      </c>
      <c r="E12" s="34">
        <f>E11+1406</f>
        <v>79232</v>
      </c>
      <c r="F12" s="36">
        <f t="shared" si="1"/>
        <v>102570</v>
      </c>
      <c r="G12" s="35">
        <f t="shared" si="4"/>
        <v>11669</v>
      </c>
      <c r="H12" s="34">
        <f t="shared" si="6"/>
        <v>90901</v>
      </c>
      <c r="I12" s="37">
        <v>0</v>
      </c>
      <c r="J12" s="37">
        <f t="shared" si="2"/>
        <v>102570</v>
      </c>
    </row>
    <row r="13" spans="1:10" x14ac:dyDescent="0.25">
      <c r="A13" s="32">
        <v>20</v>
      </c>
      <c r="B13" s="33">
        <f t="shared" si="5"/>
        <v>60365</v>
      </c>
      <c r="C13" s="34">
        <f t="shared" si="3"/>
        <v>104610</v>
      </c>
      <c r="D13" s="35">
        <f>C13-E13+1</f>
        <v>23972</v>
      </c>
      <c r="E13" s="34">
        <f t="shared" si="7"/>
        <v>80639</v>
      </c>
      <c r="F13" s="36">
        <f t="shared" si="1"/>
        <v>104610</v>
      </c>
      <c r="G13" s="35">
        <f t="shared" si="4"/>
        <v>11986</v>
      </c>
      <c r="H13" s="34">
        <f t="shared" si="6"/>
        <v>92624</v>
      </c>
      <c r="I13" s="37">
        <v>0</v>
      </c>
      <c r="J13" s="37">
        <f t="shared" si="2"/>
        <v>104610</v>
      </c>
    </row>
    <row r="14" spans="1:10" x14ac:dyDescent="0.25">
      <c r="A14" s="32">
        <v>21</v>
      </c>
      <c r="B14" s="33">
        <f t="shared" si="5"/>
        <v>61500</v>
      </c>
      <c r="C14" s="34">
        <f t="shared" si="3"/>
        <v>106650</v>
      </c>
      <c r="D14" s="35">
        <f t="shared" si="0"/>
        <v>24605</v>
      </c>
      <c r="E14" s="34">
        <f>E13+1406</f>
        <v>82045</v>
      </c>
      <c r="F14" s="36">
        <f t="shared" si="1"/>
        <v>106650</v>
      </c>
      <c r="G14" s="35">
        <f>F14-H14+1</f>
        <v>12303</v>
      </c>
      <c r="H14" s="34">
        <f>H13+1723+1</f>
        <v>94348</v>
      </c>
      <c r="I14" s="37">
        <v>0</v>
      </c>
      <c r="J14" s="37">
        <f t="shared" si="2"/>
        <v>106650</v>
      </c>
    </row>
    <row r="15" spans="1:10" x14ac:dyDescent="0.25">
      <c r="A15" s="32">
        <v>22</v>
      </c>
      <c r="B15" s="33">
        <f t="shared" si="5"/>
        <v>62635</v>
      </c>
      <c r="C15" s="34">
        <f t="shared" si="3"/>
        <v>108690</v>
      </c>
      <c r="D15" s="35">
        <f>C15-E15+1</f>
        <v>25239</v>
      </c>
      <c r="E15" s="34">
        <f t="shared" si="7"/>
        <v>83452</v>
      </c>
      <c r="F15" s="36">
        <f t="shared" si="1"/>
        <v>108690</v>
      </c>
      <c r="G15" s="35">
        <f t="shared" si="4"/>
        <v>12619</v>
      </c>
      <c r="H15" s="34">
        <f t="shared" si="6"/>
        <v>96071</v>
      </c>
      <c r="I15" s="37">
        <v>0</v>
      </c>
      <c r="J15" s="37">
        <f t="shared" si="2"/>
        <v>108690</v>
      </c>
    </row>
    <row r="16" spans="1:10" x14ac:dyDescent="0.25">
      <c r="A16" s="32">
        <v>23</v>
      </c>
      <c r="B16" s="33">
        <f t="shared" si="5"/>
        <v>63770</v>
      </c>
      <c r="C16" s="34">
        <f t="shared" si="3"/>
        <v>110730</v>
      </c>
      <c r="D16" s="35">
        <f>C16-E16</f>
        <v>25872</v>
      </c>
      <c r="E16" s="34">
        <f>E15+1406</f>
        <v>84858</v>
      </c>
      <c r="F16" s="36">
        <f t="shared" si="1"/>
        <v>110730</v>
      </c>
      <c r="G16" s="35">
        <f t="shared" si="4"/>
        <v>12936</v>
      </c>
      <c r="H16" s="34">
        <f t="shared" si="6"/>
        <v>97794</v>
      </c>
      <c r="I16" s="37">
        <v>0</v>
      </c>
      <c r="J16" s="37">
        <f t="shared" si="2"/>
        <v>110730</v>
      </c>
    </row>
    <row r="17" spans="1:10" x14ac:dyDescent="0.25">
      <c r="A17" s="32">
        <v>24</v>
      </c>
      <c r="B17" s="33">
        <f t="shared" si="5"/>
        <v>64905</v>
      </c>
      <c r="C17" s="34">
        <f t="shared" si="3"/>
        <v>112770</v>
      </c>
      <c r="D17" s="35">
        <f>C17-E17+1</f>
        <v>26506</v>
      </c>
      <c r="E17" s="34">
        <f t="shared" si="7"/>
        <v>86265</v>
      </c>
      <c r="F17" s="36">
        <f t="shared" si="1"/>
        <v>112770</v>
      </c>
      <c r="G17" s="35">
        <f>F17-H17</f>
        <v>13253</v>
      </c>
      <c r="H17" s="34">
        <f t="shared" si="6"/>
        <v>99517</v>
      </c>
      <c r="I17" s="37">
        <v>0</v>
      </c>
      <c r="J17" s="37">
        <f t="shared" si="2"/>
        <v>112770</v>
      </c>
    </row>
    <row r="18" spans="1:10" x14ac:dyDescent="0.25">
      <c r="A18" s="32">
        <v>25</v>
      </c>
      <c r="B18" s="33">
        <f t="shared" si="5"/>
        <v>66040</v>
      </c>
      <c r="C18" s="34">
        <f t="shared" si="3"/>
        <v>114810</v>
      </c>
      <c r="D18" s="35">
        <f t="shared" si="0"/>
        <v>27139</v>
      </c>
      <c r="E18" s="34">
        <f>E17+1406</f>
        <v>87671</v>
      </c>
      <c r="F18" s="36">
        <f t="shared" si="1"/>
        <v>114810</v>
      </c>
      <c r="G18" s="35">
        <f>F18-H18+1</f>
        <v>13570</v>
      </c>
      <c r="H18" s="34">
        <f>H17+1723+1</f>
        <v>101241</v>
      </c>
      <c r="I18" s="37">
        <v>0</v>
      </c>
      <c r="J18" s="37">
        <f t="shared" si="2"/>
        <v>114810</v>
      </c>
    </row>
    <row r="19" spans="1:10" x14ac:dyDescent="0.25">
      <c r="A19" s="32">
        <v>26</v>
      </c>
      <c r="B19" s="33">
        <f t="shared" si="5"/>
        <v>67175</v>
      </c>
      <c r="C19" s="34">
        <f t="shared" si="3"/>
        <v>116850</v>
      </c>
      <c r="D19" s="35">
        <f>C19-E19+1</f>
        <v>27773</v>
      </c>
      <c r="E19" s="34">
        <f t="shared" si="7"/>
        <v>89078</v>
      </c>
      <c r="F19" s="36">
        <f t="shared" si="1"/>
        <v>116850</v>
      </c>
      <c r="G19" s="35">
        <f t="shared" si="4"/>
        <v>13886</v>
      </c>
      <c r="H19" s="34">
        <f t="shared" si="6"/>
        <v>102964</v>
      </c>
      <c r="I19" s="37">
        <v>0</v>
      </c>
      <c r="J19" s="37">
        <f t="shared" si="2"/>
        <v>116850</v>
      </c>
    </row>
    <row r="20" spans="1:10" x14ac:dyDescent="0.25">
      <c r="A20" s="32">
        <v>27</v>
      </c>
      <c r="B20" s="33">
        <f t="shared" si="5"/>
        <v>68310</v>
      </c>
      <c r="C20" s="34">
        <f t="shared" si="3"/>
        <v>118890</v>
      </c>
      <c r="D20" s="35">
        <f t="shared" si="0"/>
        <v>28406</v>
      </c>
      <c r="E20" s="34">
        <f>E19+1406</f>
        <v>90484</v>
      </c>
      <c r="F20" s="36">
        <f t="shared" si="1"/>
        <v>118890</v>
      </c>
      <c r="G20" s="35">
        <f t="shared" si="4"/>
        <v>14203</v>
      </c>
      <c r="H20" s="34">
        <f t="shared" si="6"/>
        <v>104687</v>
      </c>
      <c r="I20" s="37">
        <v>0</v>
      </c>
      <c r="J20" s="37">
        <f t="shared" si="2"/>
        <v>118890</v>
      </c>
    </row>
    <row r="21" spans="1:10" x14ac:dyDescent="0.25">
      <c r="A21" s="32">
        <v>28</v>
      </c>
      <c r="B21" s="33">
        <f t="shared" si="5"/>
        <v>69445</v>
      </c>
      <c r="C21" s="34">
        <f t="shared" si="3"/>
        <v>120930</v>
      </c>
      <c r="D21" s="35">
        <f>C21-E21+1</f>
        <v>29040</v>
      </c>
      <c r="E21" s="34">
        <f t="shared" si="7"/>
        <v>91891</v>
      </c>
      <c r="F21" s="36">
        <f t="shared" si="1"/>
        <v>120930</v>
      </c>
      <c r="G21" s="35">
        <f t="shared" si="4"/>
        <v>14520</v>
      </c>
      <c r="H21" s="34">
        <f t="shared" si="6"/>
        <v>106410</v>
      </c>
      <c r="I21" s="37">
        <v>0</v>
      </c>
      <c r="J21" s="37">
        <f t="shared" si="2"/>
        <v>120930</v>
      </c>
    </row>
    <row r="22" spans="1:10" ht="15.75" thickBot="1" x14ac:dyDescent="0.3">
      <c r="A22" s="38">
        <v>29</v>
      </c>
      <c r="B22" s="39">
        <f t="shared" si="5"/>
        <v>70580</v>
      </c>
      <c r="C22" s="40">
        <f t="shared" si="3"/>
        <v>122970</v>
      </c>
      <c r="D22" s="41">
        <f t="shared" si="0"/>
        <v>29673</v>
      </c>
      <c r="E22" s="40">
        <f>E21+1406</f>
        <v>93297</v>
      </c>
      <c r="F22" s="42">
        <f t="shared" si="1"/>
        <v>122970</v>
      </c>
      <c r="G22" s="41">
        <f>F22-H22+1</f>
        <v>14837</v>
      </c>
      <c r="H22" s="40">
        <f>H21+1723+1</f>
        <v>108134</v>
      </c>
      <c r="I22" s="43">
        <v>0</v>
      </c>
      <c r="J22" s="43">
        <f t="shared" si="2"/>
        <v>122970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0E2F6"/>
  </sheetPr>
  <dimension ref="A1:J21"/>
  <sheetViews>
    <sheetView topLeftCell="A10" workbookViewId="0">
      <selection activeCell="G14" sqref="G14"/>
    </sheetView>
  </sheetViews>
  <sheetFormatPr defaultRowHeight="15" x14ac:dyDescent="0.25"/>
  <cols>
    <col min="2" max="10" width="13.7109375" customWidth="1"/>
  </cols>
  <sheetData>
    <row r="1" spans="1:10" ht="23.25" x14ac:dyDescent="0.35">
      <c r="A1" s="47" t="s">
        <v>27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</v>
      </c>
      <c r="B5" s="28">
        <v>53175</v>
      </c>
      <c r="C5" s="29">
        <v>91690</v>
      </c>
      <c r="D5" s="28">
        <f>C5-E5</f>
        <v>19960</v>
      </c>
      <c r="E5" s="29">
        <f>71730</f>
        <v>71730</v>
      </c>
      <c r="F5" s="30">
        <f>C5</f>
        <v>91690</v>
      </c>
      <c r="G5" s="28">
        <f>F5-H5</f>
        <v>9980</v>
      </c>
      <c r="H5" s="29">
        <v>81710</v>
      </c>
      <c r="I5" s="31">
        <v>0</v>
      </c>
      <c r="J5" s="31">
        <f>F5</f>
        <v>91690</v>
      </c>
    </row>
    <row r="6" spans="1:10" x14ac:dyDescent="0.25">
      <c r="A6" s="32">
        <v>2</v>
      </c>
      <c r="B6" s="33">
        <v>54550</v>
      </c>
      <c r="C6" s="34">
        <f>C5+2480</f>
        <v>94170</v>
      </c>
      <c r="D6" s="35">
        <f t="shared" ref="D6:D20" si="0">C6-E6</f>
        <v>20734</v>
      </c>
      <c r="E6" s="34">
        <v>73436</v>
      </c>
      <c r="F6" s="36">
        <f t="shared" ref="F6:F21" si="1">C6</f>
        <v>94170</v>
      </c>
      <c r="G6" s="35">
        <f t="shared" ref="G6:G21" si="2">F6-H6</f>
        <v>10367</v>
      </c>
      <c r="H6" s="34">
        <v>83803</v>
      </c>
      <c r="I6" s="37">
        <v>0</v>
      </c>
      <c r="J6" s="37">
        <f t="shared" ref="J6:J21" si="3">F6</f>
        <v>94170</v>
      </c>
    </row>
    <row r="7" spans="1:10" x14ac:dyDescent="0.25">
      <c r="A7" s="32">
        <v>3</v>
      </c>
      <c r="B7" s="33">
        <f>B6+1375</f>
        <v>55925</v>
      </c>
      <c r="C7" s="34">
        <f t="shared" ref="C7:C21" si="4">C6+2480</f>
        <v>96650</v>
      </c>
      <c r="D7" s="35">
        <f>C7-E7+1</f>
        <v>21508</v>
      </c>
      <c r="E7" s="34">
        <f>E6+1706+1</f>
        <v>75143</v>
      </c>
      <c r="F7" s="36">
        <f t="shared" si="1"/>
        <v>96650</v>
      </c>
      <c r="G7" s="35">
        <f t="shared" si="2"/>
        <v>10754</v>
      </c>
      <c r="H7" s="34">
        <f>H6+2093</f>
        <v>85896</v>
      </c>
      <c r="I7" s="37">
        <v>0</v>
      </c>
      <c r="J7" s="37">
        <f t="shared" si="3"/>
        <v>96650</v>
      </c>
    </row>
    <row r="8" spans="1:10" x14ac:dyDescent="0.25">
      <c r="A8" s="32">
        <v>4</v>
      </c>
      <c r="B8" s="33">
        <f t="shared" ref="B8:B21" si="5">B7+1375</f>
        <v>57300</v>
      </c>
      <c r="C8" s="34">
        <f t="shared" si="4"/>
        <v>99130</v>
      </c>
      <c r="D8" s="35">
        <f t="shared" si="0"/>
        <v>22281</v>
      </c>
      <c r="E8" s="34">
        <f>E7+1706</f>
        <v>76849</v>
      </c>
      <c r="F8" s="36">
        <f t="shared" si="1"/>
        <v>99130</v>
      </c>
      <c r="G8" s="35">
        <f>F8-H8+1</f>
        <v>11141</v>
      </c>
      <c r="H8" s="34">
        <f>H7+2093+1</f>
        <v>87990</v>
      </c>
      <c r="I8" s="37">
        <v>0</v>
      </c>
      <c r="J8" s="37">
        <f t="shared" si="3"/>
        <v>99130</v>
      </c>
    </row>
    <row r="9" spans="1:10" x14ac:dyDescent="0.25">
      <c r="A9" s="32">
        <v>5</v>
      </c>
      <c r="B9" s="33">
        <f t="shared" si="5"/>
        <v>58675</v>
      </c>
      <c r="C9" s="34">
        <f t="shared" si="4"/>
        <v>101610</v>
      </c>
      <c r="D9" s="35">
        <f>C9-E9+1</f>
        <v>23055</v>
      </c>
      <c r="E9" s="34">
        <f t="shared" ref="E9:E21" si="6">E8+1706+1</f>
        <v>78556</v>
      </c>
      <c r="F9" s="36">
        <f t="shared" si="1"/>
        <v>101610</v>
      </c>
      <c r="G9" s="35">
        <f t="shared" si="2"/>
        <v>11527</v>
      </c>
      <c r="H9" s="34">
        <f t="shared" ref="H9:H21" si="7">H8+2093</f>
        <v>90083</v>
      </c>
      <c r="I9" s="37">
        <v>0</v>
      </c>
      <c r="J9" s="37">
        <f t="shared" si="3"/>
        <v>101610</v>
      </c>
    </row>
    <row r="10" spans="1:10" x14ac:dyDescent="0.25">
      <c r="A10" s="32">
        <v>6</v>
      </c>
      <c r="B10" s="33">
        <f t="shared" si="5"/>
        <v>60050</v>
      </c>
      <c r="C10" s="34">
        <f t="shared" si="4"/>
        <v>104090</v>
      </c>
      <c r="D10" s="35">
        <f t="shared" si="0"/>
        <v>23828</v>
      </c>
      <c r="E10" s="34">
        <f>E9+1706</f>
        <v>80262</v>
      </c>
      <c r="F10" s="36">
        <f t="shared" si="1"/>
        <v>104090</v>
      </c>
      <c r="G10" s="35">
        <f t="shared" si="2"/>
        <v>11914</v>
      </c>
      <c r="H10" s="34">
        <f t="shared" si="7"/>
        <v>92176</v>
      </c>
      <c r="I10" s="37">
        <v>0</v>
      </c>
      <c r="J10" s="37">
        <f t="shared" si="3"/>
        <v>104090</v>
      </c>
    </row>
    <row r="11" spans="1:10" x14ac:dyDescent="0.25">
      <c r="A11" s="32">
        <v>7</v>
      </c>
      <c r="B11" s="33">
        <f t="shared" si="5"/>
        <v>61425</v>
      </c>
      <c r="C11" s="34">
        <f t="shared" si="4"/>
        <v>106570</v>
      </c>
      <c r="D11" s="35">
        <f>C11-E11+1</f>
        <v>24602</v>
      </c>
      <c r="E11" s="34">
        <f t="shared" si="6"/>
        <v>81969</v>
      </c>
      <c r="F11" s="36">
        <f t="shared" si="1"/>
        <v>106570</v>
      </c>
      <c r="G11" s="35">
        <f t="shared" si="2"/>
        <v>12301</v>
      </c>
      <c r="H11" s="34">
        <f t="shared" si="7"/>
        <v>94269</v>
      </c>
      <c r="I11" s="37">
        <v>0</v>
      </c>
      <c r="J11" s="37">
        <f t="shared" si="3"/>
        <v>106570</v>
      </c>
    </row>
    <row r="12" spans="1:10" x14ac:dyDescent="0.25">
      <c r="A12" s="32">
        <v>8</v>
      </c>
      <c r="B12" s="33">
        <f t="shared" si="5"/>
        <v>62800</v>
      </c>
      <c r="C12" s="34">
        <f t="shared" si="4"/>
        <v>109050</v>
      </c>
      <c r="D12" s="35">
        <f t="shared" si="0"/>
        <v>25375</v>
      </c>
      <c r="E12" s="34">
        <f>E11+1706</f>
        <v>83675</v>
      </c>
      <c r="F12" s="36">
        <f t="shared" si="1"/>
        <v>109050</v>
      </c>
      <c r="G12" s="35">
        <f>F12-H12+1</f>
        <v>12688</v>
      </c>
      <c r="H12" s="34">
        <f>H11+2093+1</f>
        <v>96363</v>
      </c>
      <c r="I12" s="37">
        <v>0</v>
      </c>
      <c r="J12" s="37">
        <f t="shared" si="3"/>
        <v>109050</v>
      </c>
    </row>
    <row r="13" spans="1:10" x14ac:dyDescent="0.25">
      <c r="A13" s="32">
        <v>9</v>
      </c>
      <c r="B13" s="33">
        <f t="shared" si="5"/>
        <v>64175</v>
      </c>
      <c r="C13" s="34">
        <f t="shared" si="4"/>
        <v>111530</v>
      </c>
      <c r="D13" s="35">
        <f>C13-E13+1</f>
        <v>26149</v>
      </c>
      <c r="E13" s="34">
        <f t="shared" si="6"/>
        <v>85382</v>
      </c>
      <c r="F13" s="36">
        <f t="shared" si="1"/>
        <v>111530</v>
      </c>
      <c r="G13" s="35">
        <f t="shared" si="2"/>
        <v>13074</v>
      </c>
      <c r="H13" s="34">
        <f t="shared" si="7"/>
        <v>98456</v>
      </c>
      <c r="I13" s="37">
        <v>0</v>
      </c>
      <c r="J13" s="37">
        <f t="shared" si="3"/>
        <v>111530</v>
      </c>
    </row>
    <row r="14" spans="1:10" x14ac:dyDescent="0.25">
      <c r="A14" s="32">
        <v>10</v>
      </c>
      <c r="B14" s="33">
        <f t="shared" si="5"/>
        <v>65550</v>
      </c>
      <c r="C14" s="34">
        <f t="shared" si="4"/>
        <v>114010</v>
      </c>
      <c r="D14" s="35">
        <f t="shared" si="0"/>
        <v>26922</v>
      </c>
      <c r="E14" s="34">
        <f>E13+1706</f>
        <v>87088</v>
      </c>
      <c r="F14" s="36">
        <f t="shared" si="1"/>
        <v>114010</v>
      </c>
      <c r="G14" s="35">
        <f t="shared" si="2"/>
        <v>13461</v>
      </c>
      <c r="H14" s="34">
        <f t="shared" si="7"/>
        <v>100549</v>
      </c>
      <c r="I14" s="37">
        <v>0</v>
      </c>
      <c r="J14" s="37">
        <f t="shared" si="3"/>
        <v>114010</v>
      </c>
    </row>
    <row r="15" spans="1:10" x14ac:dyDescent="0.25">
      <c r="A15" s="32">
        <v>11</v>
      </c>
      <c r="B15" s="33">
        <f t="shared" si="5"/>
        <v>66925</v>
      </c>
      <c r="C15" s="34">
        <f t="shared" si="4"/>
        <v>116490</v>
      </c>
      <c r="D15" s="35">
        <f>C15-E15+1</f>
        <v>27696</v>
      </c>
      <c r="E15" s="34">
        <f t="shared" si="6"/>
        <v>88795</v>
      </c>
      <c r="F15" s="36">
        <f t="shared" si="1"/>
        <v>116490</v>
      </c>
      <c r="G15" s="35">
        <f t="shared" si="2"/>
        <v>13848</v>
      </c>
      <c r="H15" s="34">
        <f t="shared" si="7"/>
        <v>102642</v>
      </c>
      <c r="I15" s="37">
        <v>0</v>
      </c>
      <c r="J15" s="37">
        <f t="shared" si="3"/>
        <v>116490</v>
      </c>
    </row>
    <row r="16" spans="1:10" x14ac:dyDescent="0.25">
      <c r="A16" s="32">
        <v>12</v>
      </c>
      <c r="B16" s="33">
        <f t="shared" si="5"/>
        <v>68300</v>
      </c>
      <c r="C16" s="34">
        <f t="shared" si="4"/>
        <v>118970</v>
      </c>
      <c r="D16" s="35">
        <f t="shared" si="0"/>
        <v>28469</v>
      </c>
      <c r="E16" s="34">
        <f>E15+1706</f>
        <v>90501</v>
      </c>
      <c r="F16" s="36">
        <f t="shared" si="1"/>
        <v>118970</v>
      </c>
      <c r="G16" s="35">
        <f>F16-H16+1</f>
        <v>14235</v>
      </c>
      <c r="H16" s="34">
        <f>H15+2093+1</f>
        <v>104736</v>
      </c>
      <c r="I16" s="37">
        <v>0</v>
      </c>
      <c r="J16" s="37">
        <f t="shared" si="3"/>
        <v>118970</v>
      </c>
    </row>
    <row r="17" spans="1:10" x14ac:dyDescent="0.25">
      <c r="A17" s="32">
        <v>13</v>
      </c>
      <c r="B17" s="33">
        <f t="shared" si="5"/>
        <v>69675</v>
      </c>
      <c r="C17" s="34">
        <f t="shared" si="4"/>
        <v>121450</v>
      </c>
      <c r="D17" s="35">
        <f>C17-E17+1</f>
        <v>29243</v>
      </c>
      <c r="E17" s="34">
        <f t="shared" si="6"/>
        <v>92208</v>
      </c>
      <c r="F17" s="36">
        <f t="shared" si="1"/>
        <v>121450</v>
      </c>
      <c r="G17" s="35">
        <f t="shared" si="2"/>
        <v>14621</v>
      </c>
      <c r="H17" s="34">
        <f t="shared" si="7"/>
        <v>106829</v>
      </c>
      <c r="I17" s="37">
        <v>0</v>
      </c>
      <c r="J17" s="37">
        <f t="shared" si="3"/>
        <v>121450</v>
      </c>
    </row>
    <row r="18" spans="1:10" x14ac:dyDescent="0.25">
      <c r="A18" s="32">
        <v>14</v>
      </c>
      <c r="B18" s="33">
        <f t="shared" si="5"/>
        <v>71050</v>
      </c>
      <c r="C18" s="34">
        <f t="shared" si="4"/>
        <v>123930</v>
      </c>
      <c r="D18" s="35">
        <f t="shared" si="0"/>
        <v>30016</v>
      </c>
      <c r="E18" s="34">
        <f>E17+1706</f>
        <v>93914</v>
      </c>
      <c r="F18" s="36">
        <f t="shared" si="1"/>
        <v>123930</v>
      </c>
      <c r="G18" s="35">
        <f t="shared" si="2"/>
        <v>15008</v>
      </c>
      <c r="H18" s="34">
        <f t="shared" si="7"/>
        <v>108922</v>
      </c>
      <c r="I18" s="37">
        <v>0</v>
      </c>
      <c r="J18" s="37">
        <f t="shared" si="3"/>
        <v>123930</v>
      </c>
    </row>
    <row r="19" spans="1:10" x14ac:dyDescent="0.25">
      <c r="A19" s="32">
        <v>15</v>
      </c>
      <c r="B19" s="33">
        <f t="shared" si="5"/>
        <v>72425</v>
      </c>
      <c r="C19" s="34">
        <f t="shared" si="4"/>
        <v>126410</v>
      </c>
      <c r="D19" s="35">
        <f>C19-E19+1</f>
        <v>30790</v>
      </c>
      <c r="E19" s="34">
        <f t="shared" si="6"/>
        <v>95621</v>
      </c>
      <c r="F19" s="36">
        <f t="shared" si="1"/>
        <v>126410</v>
      </c>
      <c r="G19" s="35">
        <f t="shared" si="2"/>
        <v>15395</v>
      </c>
      <c r="H19" s="34">
        <f t="shared" si="7"/>
        <v>111015</v>
      </c>
      <c r="I19" s="37">
        <v>0</v>
      </c>
      <c r="J19" s="37">
        <f t="shared" si="3"/>
        <v>126410</v>
      </c>
    </row>
    <row r="20" spans="1:10" x14ac:dyDescent="0.25">
      <c r="A20" s="32">
        <v>16</v>
      </c>
      <c r="B20" s="33">
        <f t="shared" si="5"/>
        <v>73800</v>
      </c>
      <c r="C20" s="34">
        <f t="shared" si="4"/>
        <v>128890</v>
      </c>
      <c r="D20" s="35">
        <f t="shared" si="0"/>
        <v>31563</v>
      </c>
      <c r="E20" s="34">
        <f>E19+1706</f>
        <v>97327</v>
      </c>
      <c r="F20" s="36">
        <f t="shared" si="1"/>
        <v>128890</v>
      </c>
      <c r="G20" s="35">
        <f>F20-H20+1</f>
        <v>15782</v>
      </c>
      <c r="H20" s="34">
        <f>H19+2093+1</f>
        <v>113109</v>
      </c>
      <c r="I20" s="37">
        <v>0</v>
      </c>
      <c r="J20" s="37">
        <f t="shared" si="3"/>
        <v>128890</v>
      </c>
    </row>
    <row r="21" spans="1:10" ht="15.75" thickBot="1" x14ac:dyDescent="0.3">
      <c r="A21" s="38">
        <v>17</v>
      </c>
      <c r="B21" s="39">
        <f t="shared" si="5"/>
        <v>75175</v>
      </c>
      <c r="C21" s="40">
        <f t="shared" si="4"/>
        <v>131370</v>
      </c>
      <c r="D21" s="41">
        <f>C21-E21+1</f>
        <v>32337</v>
      </c>
      <c r="E21" s="40">
        <f t="shared" si="6"/>
        <v>99034</v>
      </c>
      <c r="F21" s="42">
        <f t="shared" si="1"/>
        <v>131370</v>
      </c>
      <c r="G21" s="41">
        <f t="shared" si="2"/>
        <v>16168</v>
      </c>
      <c r="H21" s="40">
        <f t="shared" si="7"/>
        <v>115202</v>
      </c>
      <c r="I21" s="43">
        <v>0</v>
      </c>
      <c r="J21" s="43">
        <f t="shared" si="3"/>
        <v>131370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0E2F6"/>
  </sheetPr>
  <dimension ref="A1:J19"/>
  <sheetViews>
    <sheetView workbookViewId="0">
      <selection activeCell="M14" sqref="M14"/>
    </sheetView>
  </sheetViews>
  <sheetFormatPr defaultRowHeight="15" x14ac:dyDescent="0.25"/>
  <cols>
    <col min="2" max="10" width="14.5703125" customWidth="1"/>
  </cols>
  <sheetData>
    <row r="1" spans="1:10" ht="23.25" x14ac:dyDescent="0.35">
      <c r="A1" s="47" t="s">
        <v>28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12</v>
      </c>
      <c r="B5" s="28">
        <v>68835</v>
      </c>
      <c r="C5" s="29">
        <v>119940</v>
      </c>
      <c r="D5" s="28">
        <f>C5-E5-1</f>
        <v>28774</v>
      </c>
      <c r="E5" s="29">
        <v>91165</v>
      </c>
      <c r="F5" s="30">
        <f>C5</f>
        <v>119940</v>
      </c>
      <c r="G5" s="28">
        <f>F5-H5</f>
        <v>14387</v>
      </c>
      <c r="H5" s="29">
        <v>105553</v>
      </c>
      <c r="I5" s="31">
        <v>0</v>
      </c>
      <c r="J5" s="31">
        <f>F5</f>
        <v>119940</v>
      </c>
    </row>
    <row r="6" spans="1:10" x14ac:dyDescent="0.25">
      <c r="A6" s="32">
        <v>13</v>
      </c>
      <c r="B6" s="33">
        <v>70745</v>
      </c>
      <c r="C6" s="34">
        <f>C5+3450</f>
        <v>123390</v>
      </c>
      <c r="D6" s="35">
        <f>C6-E6+1</f>
        <v>29852</v>
      </c>
      <c r="E6" s="34">
        <v>93539</v>
      </c>
      <c r="F6" s="36">
        <f t="shared" ref="F6:F19" si="0">C6</f>
        <v>123390</v>
      </c>
      <c r="G6" s="35">
        <f t="shared" ref="G6:G19" si="1">F6-H6</f>
        <v>14926</v>
      </c>
      <c r="H6" s="34">
        <v>108464</v>
      </c>
      <c r="I6" s="37">
        <v>0</v>
      </c>
      <c r="J6" s="37">
        <f t="shared" ref="J6:J19" si="2">F6</f>
        <v>123390</v>
      </c>
    </row>
    <row r="7" spans="1:10" x14ac:dyDescent="0.25">
      <c r="A7" s="32">
        <v>14</v>
      </c>
      <c r="B7" s="33">
        <f>B6+1910</f>
        <v>72655</v>
      </c>
      <c r="C7" s="34">
        <f t="shared" ref="C7:C19" si="3">C6+3450</f>
        <v>126840</v>
      </c>
      <c r="D7" s="35">
        <f>C7-E7+1</f>
        <v>30930</v>
      </c>
      <c r="E7" s="34">
        <f>E6+2372</f>
        <v>95911</v>
      </c>
      <c r="F7" s="36">
        <f t="shared" si="0"/>
        <v>126840</v>
      </c>
      <c r="G7" s="35">
        <f t="shared" si="1"/>
        <v>15465</v>
      </c>
      <c r="H7" s="34">
        <f>H6+2911</f>
        <v>111375</v>
      </c>
      <c r="I7" s="37">
        <v>0</v>
      </c>
      <c r="J7" s="37">
        <f t="shared" si="2"/>
        <v>126840</v>
      </c>
    </row>
    <row r="8" spans="1:10" x14ac:dyDescent="0.25">
      <c r="A8" s="32">
        <v>15</v>
      </c>
      <c r="B8" s="33">
        <f t="shared" ref="B8:B19" si="4">B7+1910</f>
        <v>74565</v>
      </c>
      <c r="C8" s="34">
        <f t="shared" si="3"/>
        <v>130290</v>
      </c>
      <c r="D8" s="35">
        <f t="shared" ref="D8:D19" si="5">C8-E8+1</f>
        <v>32008</v>
      </c>
      <c r="E8" s="34">
        <f t="shared" ref="E8:E19" si="6">E7+2372</f>
        <v>98283</v>
      </c>
      <c r="F8" s="36">
        <f t="shared" si="0"/>
        <v>130290</v>
      </c>
      <c r="G8" s="35">
        <f t="shared" si="1"/>
        <v>16004</v>
      </c>
      <c r="H8" s="34">
        <f t="shared" ref="H8:H19" si="7">H7+2911</f>
        <v>114286</v>
      </c>
      <c r="I8" s="37">
        <v>0</v>
      </c>
      <c r="J8" s="37">
        <f t="shared" si="2"/>
        <v>130290</v>
      </c>
    </row>
    <row r="9" spans="1:10" x14ac:dyDescent="0.25">
      <c r="A9" s="32">
        <v>16</v>
      </c>
      <c r="B9" s="33">
        <f t="shared" si="4"/>
        <v>76475</v>
      </c>
      <c r="C9" s="34">
        <f t="shared" si="3"/>
        <v>133740</v>
      </c>
      <c r="D9" s="35">
        <f t="shared" si="5"/>
        <v>33086</v>
      </c>
      <c r="E9" s="34">
        <f t="shared" si="6"/>
        <v>100655</v>
      </c>
      <c r="F9" s="36">
        <f t="shared" si="0"/>
        <v>133740</v>
      </c>
      <c r="G9" s="35">
        <f t="shared" si="1"/>
        <v>16543</v>
      </c>
      <c r="H9" s="34">
        <f t="shared" si="7"/>
        <v>117197</v>
      </c>
      <c r="I9" s="37">
        <v>0</v>
      </c>
      <c r="J9" s="37">
        <f t="shared" si="2"/>
        <v>133740</v>
      </c>
    </row>
    <row r="10" spans="1:10" x14ac:dyDescent="0.25">
      <c r="A10" s="32">
        <v>17</v>
      </c>
      <c r="B10" s="33">
        <f t="shared" si="4"/>
        <v>78385</v>
      </c>
      <c r="C10" s="34">
        <f t="shared" si="3"/>
        <v>137190</v>
      </c>
      <c r="D10" s="35">
        <f t="shared" si="5"/>
        <v>34164</v>
      </c>
      <c r="E10" s="34">
        <f t="shared" si="6"/>
        <v>103027</v>
      </c>
      <c r="F10" s="36">
        <f t="shared" si="0"/>
        <v>137190</v>
      </c>
      <c r="G10" s="35">
        <f t="shared" si="1"/>
        <v>17082</v>
      </c>
      <c r="H10" s="34">
        <f t="shared" si="7"/>
        <v>120108</v>
      </c>
      <c r="I10" s="37">
        <v>0</v>
      </c>
      <c r="J10" s="37">
        <f t="shared" si="2"/>
        <v>137190</v>
      </c>
    </row>
    <row r="11" spans="1:10" x14ac:dyDescent="0.25">
      <c r="A11" s="32">
        <v>18</v>
      </c>
      <c r="B11" s="33">
        <f t="shared" si="4"/>
        <v>80295</v>
      </c>
      <c r="C11" s="34">
        <f t="shared" si="3"/>
        <v>140640</v>
      </c>
      <c r="D11" s="35">
        <f t="shared" si="5"/>
        <v>35242</v>
      </c>
      <c r="E11" s="34">
        <f t="shared" si="6"/>
        <v>105399</v>
      </c>
      <c r="F11" s="36">
        <f t="shared" si="0"/>
        <v>140640</v>
      </c>
      <c r="G11" s="35">
        <f t="shared" si="1"/>
        <v>17621</v>
      </c>
      <c r="H11" s="34">
        <f t="shared" si="7"/>
        <v>123019</v>
      </c>
      <c r="I11" s="37">
        <v>0</v>
      </c>
      <c r="J11" s="37">
        <f t="shared" si="2"/>
        <v>140640</v>
      </c>
    </row>
    <row r="12" spans="1:10" x14ac:dyDescent="0.25">
      <c r="A12" s="32">
        <v>19</v>
      </c>
      <c r="B12" s="33">
        <f t="shared" si="4"/>
        <v>82205</v>
      </c>
      <c r="C12" s="34">
        <f t="shared" si="3"/>
        <v>144090</v>
      </c>
      <c r="D12" s="35">
        <f t="shared" si="5"/>
        <v>36320</v>
      </c>
      <c r="E12" s="34">
        <f t="shared" si="6"/>
        <v>107771</v>
      </c>
      <c r="F12" s="36">
        <f t="shared" si="0"/>
        <v>144090</v>
      </c>
      <c r="G12" s="35">
        <f t="shared" si="1"/>
        <v>18160</v>
      </c>
      <c r="H12" s="34">
        <f t="shared" si="7"/>
        <v>125930</v>
      </c>
      <c r="I12" s="37">
        <v>0</v>
      </c>
      <c r="J12" s="37">
        <f t="shared" si="2"/>
        <v>144090</v>
      </c>
    </row>
    <row r="13" spans="1:10" x14ac:dyDescent="0.25">
      <c r="A13" s="32">
        <v>20</v>
      </c>
      <c r="B13" s="33">
        <f t="shared" si="4"/>
        <v>84115</v>
      </c>
      <c r="C13" s="34">
        <f t="shared" si="3"/>
        <v>147540</v>
      </c>
      <c r="D13" s="35">
        <f t="shared" si="5"/>
        <v>37398</v>
      </c>
      <c r="E13" s="34">
        <f t="shared" si="6"/>
        <v>110143</v>
      </c>
      <c r="F13" s="36">
        <f t="shared" si="0"/>
        <v>147540</v>
      </c>
      <c r="G13" s="35">
        <f t="shared" si="1"/>
        <v>18699</v>
      </c>
      <c r="H13" s="34">
        <f t="shared" si="7"/>
        <v>128841</v>
      </c>
      <c r="I13" s="37">
        <v>0</v>
      </c>
      <c r="J13" s="37">
        <f t="shared" si="2"/>
        <v>147540</v>
      </c>
    </row>
    <row r="14" spans="1:10" x14ac:dyDescent="0.25">
      <c r="A14" s="32">
        <v>21</v>
      </c>
      <c r="B14" s="33">
        <f t="shared" si="4"/>
        <v>86025</v>
      </c>
      <c r="C14" s="34">
        <f t="shared" si="3"/>
        <v>150990</v>
      </c>
      <c r="D14" s="35">
        <f t="shared" si="5"/>
        <v>38476</v>
      </c>
      <c r="E14" s="34">
        <f t="shared" si="6"/>
        <v>112515</v>
      </c>
      <c r="F14" s="36">
        <f t="shared" si="0"/>
        <v>150990</v>
      </c>
      <c r="G14" s="35">
        <f t="shared" si="1"/>
        <v>19238</v>
      </c>
      <c r="H14" s="34">
        <f t="shared" si="7"/>
        <v>131752</v>
      </c>
      <c r="I14" s="37">
        <v>0</v>
      </c>
      <c r="J14" s="37">
        <f t="shared" si="2"/>
        <v>150990</v>
      </c>
    </row>
    <row r="15" spans="1:10" x14ac:dyDescent="0.25">
      <c r="A15" s="32">
        <v>22</v>
      </c>
      <c r="B15" s="33">
        <f t="shared" si="4"/>
        <v>87935</v>
      </c>
      <c r="C15" s="34">
        <f t="shared" si="3"/>
        <v>154440</v>
      </c>
      <c r="D15" s="35">
        <f t="shared" si="5"/>
        <v>39554</v>
      </c>
      <c r="E15" s="34">
        <f t="shared" si="6"/>
        <v>114887</v>
      </c>
      <c r="F15" s="36">
        <f t="shared" si="0"/>
        <v>154440</v>
      </c>
      <c r="G15" s="35">
        <f t="shared" si="1"/>
        <v>19777</v>
      </c>
      <c r="H15" s="34">
        <f t="shared" si="7"/>
        <v>134663</v>
      </c>
      <c r="I15" s="37">
        <v>0</v>
      </c>
      <c r="J15" s="37">
        <f t="shared" si="2"/>
        <v>154440</v>
      </c>
    </row>
    <row r="16" spans="1:10" x14ac:dyDescent="0.25">
      <c r="A16" s="32">
        <v>23</v>
      </c>
      <c r="B16" s="33">
        <f t="shared" si="4"/>
        <v>89845</v>
      </c>
      <c r="C16" s="34">
        <f t="shared" si="3"/>
        <v>157890</v>
      </c>
      <c r="D16" s="35">
        <f t="shared" si="5"/>
        <v>40632</v>
      </c>
      <c r="E16" s="34">
        <f t="shared" si="6"/>
        <v>117259</v>
      </c>
      <c r="F16" s="36">
        <f t="shared" si="0"/>
        <v>157890</v>
      </c>
      <c r="G16" s="35">
        <f t="shared" si="1"/>
        <v>20316</v>
      </c>
      <c r="H16" s="34">
        <f t="shared" si="7"/>
        <v>137574</v>
      </c>
      <c r="I16" s="37">
        <v>0</v>
      </c>
      <c r="J16" s="37">
        <f t="shared" si="2"/>
        <v>157890</v>
      </c>
    </row>
    <row r="17" spans="1:10" x14ac:dyDescent="0.25">
      <c r="A17" s="32">
        <v>24</v>
      </c>
      <c r="B17" s="33">
        <f t="shared" si="4"/>
        <v>91755</v>
      </c>
      <c r="C17" s="34">
        <f t="shared" si="3"/>
        <v>161340</v>
      </c>
      <c r="D17" s="35">
        <f t="shared" si="5"/>
        <v>41710</v>
      </c>
      <c r="E17" s="34">
        <f t="shared" si="6"/>
        <v>119631</v>
      </c>
      <c r="F17" s="36">
        <f t="shared" si="0"/>
        <v>161340</v>
      </c>
      <c r="G17" s="35">
        <f t="shared" si="1"/>
        <v>20855</v>
      </c>
      <c r="H17" s="34">
        <f t="shared" si="7"/>
        <v>140485</v>
      </c>
      <c r="I17" s="37">
        <v>0</v>
      </c>
      <c r="J17" s="37">
        <f t="shared" si="2"/>
        <v>161340</v>
      </c>
    </row>
    <row r="18" spans="1:10" x14ac:dyDescent="0.25">
      <c r="A18" s="32">
        <v>25</v>
      </c>
      <c r="B18" s="33">
        <f t="shared" si="4"/>
        <v>93665</v>
      </c>
      <c r="C18" s="34">
        <f t="shared" si="3"/>
        <v>164790</v>
      </c>
      <c r="D18" s="35">
        <f t="shared" si="5"/>
        <v>42788</v>
      </c>
      <c r="E18" s="34">
        <f t="shared" si="6"/>
        <v>122003</v>
      </c>
      <c r="F18" s="36">
        <f t="shared" si="0"/>
        <v>164790</v>
      </c>
      <c r="G18" s="35">
        <f t="shared" si="1"/>
        <v>21394</v>
      </c>
      <c r="H18" s="34">
        <f t="shared" si="7"/>
        <v>143396</v>
      </c>
      <c r="I18" s="37">
        <v>0</v>
      </c>
      <c r="J18" s="37">
        <f t="shared" si="2"/>
        <v>164790</v>
      </c>
    </row>
    <row r="19" spans="1:10" ht="15.75" thickBot="1" x14ac:dyDescent="0.3">
      <c r="A19" s="38">
        <v>26</v>
      </c>
      <c r="B19" s="39">
        <f t="shared" si="4"/>
        <v>95575</v>
      </c>
      <c r="C19" s="40">
        <f t="shared" si="3"/>
        <v>168240</v>
      </c>
      <c r="D19" s="41">
        <f t="shared" si="5"/>
        <v>43866</v>
      </c>
      <c r="E19" s="40">
        <f t="shared" si="6"/>
        <v>124375</v>
      </c>
      <c r="F19" s="42">
        <f t="shared" si="0"/>
        <v>168240</v>
      </c>
      <c r="G19" s="41">
        <f t="shared" si="1"/>
        <v>21933</v>
      </c>
      <c r="H19" s="40">
        <f t="shared" si="7"/>
        <v>146307</v>
      </c>
      <c r="I19" s="43">
        <v>0</v>
      </c>
      <c r="J19" s="43">
        <f t="shared" si="2"/>
        <v>168240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20"/>
  <sheetViews>
    <sheetView workbookViewId="0">
      <selection activeCell="A5" sqref="A5:XFD20"/>
    </sheetView>
  </sheetViews>
  <sheetFormatPr defaultRowHeight="15" x14ac:dyDescent="0.25"/>
  <cols>
    <col min="2" max="10" width="12.85546875" customWidth="1"/>
  </cols>
  <sheetData>
    <row r="1" spans="1:10" ht="23.25" x14ac:dyDescent="0.35">
      <c r="A1" s="47" t="s">
        <v>29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</v>
      </c>
      <c r="B5" s="28">
        <v>80295</v>
      </c>
      <c r="C5" s="29">
        <v>140640</v>
      </c>
      <c r="D5" s="28">
        <f>C5-E5</f>
        <v>35241</v>
      </c>
      <c r="E5" s="29">
        <f>105399</f>
        <v>105399</v>
      </c>
      <c r="F5" s="30">
        <f>C5</f>
        <v>140640</v>
      </c>
      <c r="G5" s="28">
        <f>F5-H5</f>
        <v>17621</v>
      </c>
      <c r="H5" s="29">
        <v>123019</v>
      </c>
      <c r="I5" s="31">
        <v>0</v>
      </c>
      <c r="J5" s="31">
        <f>F5</f>
        <v>140640</v>
      </c>
    </row>
    <row r="6" spans="1:10" x14ac:dyDescent="0.25">
      <c r="A6" s="32">
        <v>2</v>
      </c>
      <c r="B6" s="33">
        <v>82565</v>
      </c>
      <c r="C6" s="34">
        <f>C5+4100</f>
        <v>144740</v>
      </c>
      <c r="D6" s="35">
        <f>C6-E6+1</f>
        <v>36523</v>
      </c>
      <c r="E6" s="34">
        <v>108218</v>
      </c>
      <c r="F6" s="36">
        <f t="shared" ref="F6:F20" si="0">C6</f>
        <v>144740</v>
      </c>
      <c r="G6" s="35">
        <f t="shared" ref="G6:G20" si="1">F6-H6</f>
        <v>18261</v>
      </c>
      <c r="H6" s="34">
        <v>126479</v>
      </c>
      <c r="I6" s="37">
        <v>0</v>
      </c>
      <c r="J6" s="37">
        <f t="shared" ref="J6:J20" si="2">F6</f>
        <v>144740</v>
      </c>
    </row>
    <row r="7" spans="1:10" x14ac:dyDescent="0.25">
      <c r="A7" s="32">
        <v>3</v>
      </c>
      <c r="B7" s="33">
        <f>B6+2270</f>
        <v>84835</v>
      </c>
      <c r="C7" s="34">
        <f t="shared" ref="C7:C20" si="3">C6+4100</f>
        <v>148840</v>
      </c>
      <c r="D7" s="35">
        <f t="shared" ref="D7:D20" si="4">C7-E7+1</f>
        <v>37804</v>
      </c>
      <c r="E7" s="34">
        <f>E6+2819</f>
        <v>111037</v>
      </c>
      <c r="F7" s="36">
        <f t="shared" si="0"/>
        <v>148840</v>
      </c>
      <c r="G7" s="35">
        <f t="shared" si="1"/>
        <v>18902</v>
      </c>
      <c r="H7" s="34">
        <f>H6+3460-1</f>
        <v>129938</v>
      </c>
      <c r="I7" s="37">
        <v>0</v>
      </c>
      <c r="J7" s="37">
        <f t="shared" si="2"/>
        <v>148840</v>
      </c>
    </row>
    <row r="8" spans="1:10" x14ac:dyDescent="0.25">
      <c r="A8" s="32">
        <v>4</v>
      </c>
      <c r="B8" s="33">
        <f t="shared" ref="B8:B20" si="5">B7+2270</f>
        <v>87105</v>
      </c>
      <c r="C8" s="34">
        <f t="shared" si="3"/>
        <v>152940</v>
      </c>
      <c r="D8" s="35">
        <f t="shared" si="4"/>
        <v>39085</v>
      </c>
      <c r="E8" s="34">
        <f t="shared" ref="E8:E20" si="6">E7+2819</f>
        <v>113856</v>
      </c>
      <c r="F8" s="36">
        <f t="shared" si="0"/>
        <v>152940</v>
      </c>
      <c r="G8" s="35">
        <f t="shared" si="1"/>
        <v>19542</v>
      </c>
      <c r="H8" s="34">
        <f>H7+3460</f>
        <v>133398</v>
      </c>
      <c r="I8" s="37">
        <v>0</v>
      </c>
      <c r="J8" s="37">
        <f t="shared" si="2"/>
        <v>152940</v>
      </c>
    </row>
    <row r="9" spans="1:10" x14ac:dyDescent="0.25">
      <c r="A9" s="32">
        <v>5</v>
      </c>
      <c r="B9" s="33">
        <f t="shared" si="5"/>
        <v>89375</v>
      </c>
      <c r="C9" s="34">
        <f t="shared" si="3"/>
        <v>157040</v>
      </c>
      <c r="D9" s="35">
        <f t="shared" si="4"/>
        <v>40366</v>
      </c>
      <c r="E9" s="34">
        <f t="shared" si="6"/>
        <v>116675</v>
      </c>
      <c r="F9" s="36">
        <f t="shared" si="0"/>
        <v>157040</v>
      </c>
      <c r="G9" s="35">
        <f t="shared" si="1"/>
        <v>20183</v>
      </c>
      <c r="H9" s="34">
        <f>H8+3460-1</f>
        <v>136857</v>
      </c>
      <c r="I9" s="37">
        <v>0</v>
      </c>
      <c r="J9" s="37">
        <f t="shared" si="2"/>
        <v>157040</v>
      </c>
    </row>
    <row r="10" spans="1:10" x14ac:dyDescent="0.25">
      <c r="A10" s="32">
        <v>6</v>
      </c>
      <c r="B10" s="33">
        <f t="shared" si="5"/>
        <v>91645</v>
      </c>
      <c r="C10" s="34">
        <f t="shared" si="3"/>
        <v>161140</v>
      </c>
      <c r="D10" s="35">
        <f t="shared" si="4"/>
        <v>41647</v>
      </c>
      <c r="E10" s="34">
        <f t="shared" si="6"/>
        <v>119494</v>
      </c>
      <c r="F10" s="36">
        <f t="shared" si="0"/>
        <v>161140</v>
      </c>
      <c r="G10" s="35">
        <f t="shared" si="1"/>
        <v>20823</v>
      </c>
      <c r="H10" s="34">
        <f t="shared" ref="H10:H18" si="7">H9+3460</f>
        <v>140317</v>
      </c>
      <c r="I10" s="37">
        <v>0</v>
      </c>
      <c r="J10" s="37">
        <f t="shared" si="2"/>
        <v>161140</v>
      </c>
    </row>
    <row r="11" spans="1:10" x14ac:dyDescent="0.25">
      <c r="A11" s="32">
        <v>7</v>
      </c>
      <c r="B11" s="33">
        <f t="shared" si="5"/>
        <v>93915</v>
      </c>
      <c r="C11" s="34">
        <f t="shared" si="3"/>
        <v>165240</v>
      </c>
      <c r="D11" s="35">
        <f t="shared" si="4"/>
        <v>42928</v>
      </c>
      <c r="E11" s="34">
        <f t="shared" si="6"/>
        <v>122313</v>
      </c>
      <c r="F11" s="36">
        <f t="shared" si="0"/>
        <v>165240</v>
      </c>
      <c r="G11" s="35">
        <f t="shared" si="1"/>
        <v>21464</v>
      </c>
      <c r="H11" s="34">
        <f>H10+3460-1</f>
        <v>143776</v>
      </c>
      <c r="I11" s="37">
        <v>0</v>
      </c>
      <c r="J11" s="37">
        <f t="shared" si="2"/>
        <v>165240</v>
      </c>
    </row>
    <row r="12" spans="1:10" x14ac:dyDescent="0.25">
      <c r="A12" s="32">
        <v>8</v>
      </c>
      <c r="B12" s="33">
        <f t="shared" si="5"/>
        <v>96185</v>
      </c>
      <c r="C12" s="34">
        <f t="shared" si="3"/>
        <v>169340</v>
      </c>
      <c r="D12" s="35">
        <f t="shared" si="4"/>
        <v>44209</v>
      </c>
      <c r="E12" s="34">
        <f t="shared" si="6"/>
        <v>125132</v>
      </c>
      <c r="F12" s="36">
        <f t="shared" si="0"/>
        <v>169340</v>
      </c>
      <c r="G12" s="35">
        <f t="shared" si="1"/>
        <v>22104</v>
      </c>
      <c r="H12" s="34">
        <f t="shared" si="7"/>
        <v>147236</v>
      </c>
      <c r="I12" s="37">
        <v>0</v>
      </c>
      <c r="J12" s="37">
        <f t="shared" si="2"/>
        <v>169340</v>
      </c>
    </row>
    <row r="13" spans="1:10" x14ac:dyDescent="0.25">
      <c r="A13" s="32">
        <v>9</v>
      </c>
      <c r="B13" s="33">
        <f t="shared" si="5"/>
        <v>98455</v>
      </c>
      <c r="C13" s="34">
        <f t="shared" si="3"/>
        <v>173440</v>
      </c>
      <c r="D13" s="35">
        <f t="shared" si="4"/>
        <v>45490</v>
      </c>
      <c r="E13" s="34">
        <f t="shared" si="6"/>
        <v>127951</v>
      </c>
      <c r="F13" s="36">
        <f t="shared" si="0"/>
        <v>173440</v>
      </c>
      <c r="G13" s="35">
        <f t="shared" si="1"/>
        <v>22745</v>
      </c>
      <c r="H13" s="34">
        <f>H12+3460-1</f>
        <v>150695</v>
      </c>
      <c r="I13" s="37">
        <v>0</v>
      </c>
      <c r="J13" s="37">
        <f t="shared" si="2"/>
        <v>173440</v>
      </c>
    </row>
    <row r="14" spans="1:10" x14ac:dyDescent="0.25">
      <c r="A14" s="32">
        <v>10</v>
      </c>
      <c r="B14" s="33">
        <f t="shared" si="5"/>
        <v>100725</v>
      </c>
      <c r="C14" s="34">
        <f t="shared" si="3"/>
        <v>177540</v>
      </c>
      <c r="D14" s="35">
        <f t="shared" si="4"/>
        <v>46771</v>
      </c>
      <c r="E14" s="34">
        <f t="shared" si="6"/>
        <v>130770</v>
      </c>
      <c r="F14" s="36">
        <f t="shared" si="0"/>
        <v>177540</v>
      </c>
      <c r="G14" s="35">
        <f t="shared" si="1"/>
        <v>23385</v>
      </c>
      <c r="H14" s="34">
        <f t="shared" si="7"/>
        <v>154155</v>
      </c>
      <c r="I14" s="37">
        <v>0</v>
      </c>
      <c r="J14" s="37">
        <f t="shared" si="2"/>
        <v>177540</v>
      </c>
    </row>
    <row r="15" spans="1:10" x14ac:dyDescent="0.25">
      <c r="A15" s="32">
        <v>11</v>
      </c>
      <c r="B15" s="33">
        <f t="shared" si="5"/>
        <v>102995</v>
      </c>
      <c r="C15" s="34">
        <f t="shared" si="3"/>
        <v>181640</v>
      </c>
      <c r="D15" s="35">
        <f t="shared" si="4"/>
        <v>48052</v>
      </c>
      <c r="E15" s="34">
        <f t="shared" si="6"/>
        <v>133589</v>
      </c>
      <c r="F15" s="36">
        <f t="shared" si="0"/>
        <v>181640</v>
      </c>
      <c r="G15" s="35">
        <f t="shared" si="1"/>
        <v>24026</v>
      </c>
      <c r="H15" s="34">
        <f>H14+3460-1</f>
        <v>157614</v>
      </c>
      <c r="I15" s="37">
        <v>0</v>
      </c>
      <c r="J15" s="37">
        <f t="shared" si="2"/>
        <v>181640</v>
      </c>
    </row>
    <row r="16" spans="1:10" x14ac:dyDescent="0.25">
      <c r="A16" s="32">
        <v>12</v>
      </c>
      <c r="B16" s="33">
        <f t="shared" si="5"/>
        <v>105265</v>
      </c>
      <c r="C16" s="34">
        <f t="shared" si="3"/>
        <v>185740</v>
      </c>
      <c r="D16" s="35">
        <f t="shared" si="4"/>
        <v>49333</v>
      </c>
      <c r="E16" s="34">
        <f t="shared" si="6"/>
        <v>136408</v>
      </c>
      <c r="F16" s="36">
        <f t="shared" si="0"/>
        <v>185740</v>
      </c>
      <c r="G16" s="35">
        <f t="shared" si="1"/>
        <v>24666</v>
      </c>
      <c r="H16" s="34">
        <f t="shared" si="7"/>
        <v>161074</v>
      </c>
      <c r="I16" s="37">
        <v>0</v>
      </c>
      <c r="J16" s="37">
        <f t="shared" si="2"/>
        <v>185740</v>
      </c>
    </row>
    <row r="17" spans="1:10" x14ac:dyDescent="0.25">
      <c r="A17" s="32">
        <v>13</v>
      </c>
      <c r="B17" s="33">
        <f t="shared" si="5"/>
        <v>107535</v>
      </c>
      <c r="C17" s="34">
        <f t="shared" si="3"/>
        <v>189840</v>
      </c>
      <c r="D17" s="35">
        <f t="shared" si="4"/>
        <v>50614</v>
      </c>
      <c r="E17" s="34">
        <f t="shared" si="6"/>
        <v>139227</v>
      </c>
      <c r="F17" s="36">
        <f t="shared" si="0"/>
        <v>189840</v>
      </c>
      <c r="G17" s="35">
        <f t="shared" si="1"/>
        <v>25307</v>
      </c>
      <c r="H17" s="34">
        <f>H16+3460-1</f>
        <v>164533</v>
      </c>
      <c r="I17" s="37">
        <v>0</v>
      </c>
      <c r="J17" s="37">
        <f t="shared" si="2"/>
        <v>189840</v>
      </c>
    </row>
    <row r="18" spans="1:10" x14ac:dyDescent="0.25">
      <c r="A18" s="32">
        <v>14</v>
      </c>
      <c r="B18" s="33">
        <f t="shared" si="5"/>
        <v>109805</v>
      </c>
      <c r="C18" s="34">
        <f t="shared" si="3"/>
        <v>193940</v>
      </c>
      <c r="D18" s="35">
        <f t="shared" si="4"/>
        <v>51895</v>
      </c>
      <c r="E18" s="34">
        <f t="shared" si="6"/>
        <v>142046</v>
      </c>
      <c r="F18" s="36">
        <f t="shared" si="0"/>
        <v>193940</v>
      </c>
      <c r="G18" s="35">
        <f t="shared" si="1"/>
        <v>25947</v>
      </c>
      <c r="H18" s="34">
        <f t="shared" si="7"/>
        <v>167993</v>
      </c>
      <c r="I18" s="37">
        <v>0</v>
      </c>
      <c r="J18" s="37">
        <f t="shared" si="2"/>
        <v>193940</v>
      </c>
    </row>
    <row r="19" spans="1:10" x14ac:dyDescent="0.25">
      <c r="A19" s="32">
        <v>15</v>
      </c>
      <c r="B19" s="33">
        <f t="shared" si="5"/>
        <v>112075</v>
      </c>
      <c r="C19" s="34">
        <f t="shared" si="3"/>
        <v>198040</v>
      </c>
      <c r="D19" s="35">
        <f t="shared" si="4"/>
        <v>53176</v>
      </c>
      <c r="E19" s="34">
        <f t="shared" si="6"/>
        <v>144865</v>
      </c>
      <c r="F19" s="36">
        <f t="shared" si="0"/>
        <v>198040</v>
      </c>
      <c r="G19" s="35">
        <f t="shared" si="1"/>
        <v>26588</v>
      </c>
      <c r="H19" s="34">
        <f>H18+3460-1</f>
        <v>171452</v>
      </c>
      <c r="I19" s="37">
        <v>0</v>
      </c>
      <c r="J19" s="37">
        <f t="shared" si="2"/>
        <v>198040</v>
      </c>
    </row>
    <row r="20" spans="1:10" ht="15.75" thickBot="1" x14ac:dyDescent="0.3">
      <c r="A20" s="38">
        <v>16</v>
      </c>
      <c r="B20" s="39">
        <f t="shared" si="5"/>
        <v>114345</v>
      </c>
      <c r="C20" s="40">
        <f t="shared" si="3"/>
        <v>202140</v>
      </c>
      <c r="D20" s="41">
        <f t="shared" si="4"/>
        <v>54457</v>
      </c>
      <c r="E20" s="40">
        <f t="shared" si="6"/>
        <v>147684</v>
      </c>
      <c r="F20" s="42">
        <f t="shared" si="0"/>
        <v>202140</v>
      </c>
      <c r="G20" s="41">
        <f t="shared" si="1"/>
        <v>27228</v>
      </c>
      <c r="H20" s="40">
        <f>H19+3460</f>
        <v>174912</v>
      </c>
      <c r="I20" s="43">
        <v>0</v>
      </c>
      <c r="J20" s="43">
        <f t="shared" si="2"/>
        <v>202140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J20"/>
  <sheetViews>
    <sheetView workbookViewId="0">
      <selection activeCell="K16" sqref="K16"/>
    </sheetView>
  </sheetViews>
  <sheetFormatPr defaultRowHeight="15" x14ac:dyDescent="0.25"/>
  <cols>
    <col min="2" max="10" width="13.28515625" customWidth="1"/>
  </cols>
  <sheetData>
    <row r="1" spans="1:10" ht="23.25" x14ac:dyDescent="0.35">
      <c r="A1" s="47" t="s">
        <v>30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</v>
      </c>
      <c r="B5" s="28">
        <v>86865</v>
      </c>
      <c r="C5" s="29">
        <v>152500</v>
      </c>
      <c r="D5" s="28">
        <f>C5-E5+1</f>
        <v>38945</v>
      </c>
      <c r="E5" s="29">
        <v>113556</v>
      </c>
      <c r="F5" s="30">
        <f>C5</f>
        <v>152500</v>
      </c>
      <c r="G5" s="28">
        <f>F5-H5</f>
        <v>19472</v>
      </c>
      <c r="H5" s="29">
        <v>133028</v>
      </c>
      <c r="I5" s="31">
        <v>0</v>
      </c>
      <c r="J5" s="31">
        <f>F5</f>
        <v>152500</v>
      </c>
    </row>
    <row r="6" spans="1:10" x14ac:dyDescent="0.25">
      <c r="A6" s="32">
        <v>2</v>
      </c>
      <c r="B6" s="33">
        <v>89135</v>
      </c>
      <c r="C6" s="34">
        <f>C5+4100</f>
        <v>156600</v>
      </c>
      <c r="D6" s="35">
        <f t="shared" ref="D6:D20" si="0">C6-E6+1</f>
        <v>40226</v>
      </c>
      <c r="E6" s="34">
        <v>116375</v>
      </c>
      <c r="F6" s="36">
        <f t="shared" ref="F6:F20" si="1">C6</f>
        <v>156600</v>
      </c>
      <c r="G6" s="35">
        <f t="shared" ref="G6:G20" si="2">F6-H6</f>
        <v>20113</v>
      </c>
      <c r="H6" s="34">
        <v>136487</v>
      </c>
      <c r="I6" s="37">
        <v>0</v>
      </c>
      <c r="J6" s="37">
        <f t="shared" ref="J6:J20" si="3">F6</f>
        <v>156600</v>
      </c>
    </row>
    <row r="7" spans="1:10" x14ac:dyDescent="0.25">
      <c r="A7" s="32">
        <v>3</v>
      </c>
      <c r="B7" s="33">
        <f>B6+2270</f>
        <v>91405</v>
      </c>
      <c r="C7" s="34">
        <f t="shared" ref="C7:C20" si="4">C6+4100</f>
        <v>160700</v>
      </c>
      <c r="D7" s="35">
        <f t="shared" si="0"/>
        <v>41507</v>
      </c>
      <c r="E7" s="34">
        <f>E6+2819</f>
        <v>119194</v>
      </c>
      <c r="F7" s="36">
        <f t="shared" si="1"/>
        <v>160700</v>
      </c>
      <c r="G7" s="35">
        <f t="shared" si="2"/>
        <v>20753</v>
      </c>
      <c r="H7" s="34">
        <f>H6+3459+1</f>
        <v>139947</v>
      </c>
      <c r="I7" s="37">
        <v>0</v>
      </c>
      <c r="J7" s="37">
        <f t="shared" si="3"/>
        <v>160700</v>
      </c>
    </row>
    <row r="8" spans="1:10" x14ac:dyDescent="0.25">
      <c r="A8" s="32">
        <v>4</v>
      </c>
      <c r="B8" s="33">
        <f t="shared" ref="B8:B20" si="5">B7+2270</f>
        <v>93675</v>
      </c>
      <c r="C8" s="34">
        <f t="shared" si="4"/>
        <v>164800</v>
      </c>
      <c r="D8" s="35">
        <f t="shared" si="0"/>
        <v>42788</v>
      </c>
      <c r="E8" s="34">
        <f t="shared" ref="E8:E20" si="6">E7+2819</f>
        <v>122013</v>
      </c>
      <c r="F8" s="36">
        <f t="shared" si="1"/>
        <v>164800</v>
      </c>
      <c r="G8" s="35">
        <f t="shared" si="2"/>
        <v>21394</v>
      </c>
      <c r="H8" s="34">
        <f>H7+3459</f>
        <v>143406</v>
      </c>
      <c r="I8" s="37">
        <v>0</v>
      </c>
      <c r="J8" s="37">
        <f t="shared" si="3"/>
        <v>164800</v>
      </c>
    </row>
    <row r="9" spans="1:10" x14ac:dyDescent="0.25">
      <c r="A9" s="32">
        <v>5</v>
      </c>
      <c r="B9" s="33">
        <f t="shared" si="5"/>
        <v>95945</v>
      </c>
      <c r="C9" s="34">
        <f t="shared" si="4"/>
        <v>168900</v>
      </c>
      <c r="D9" s="35">
        <f t="shared" si="0"/>
        <v>44069</v>
      </c>
      <c r="E9" s="34">
        <f t="shared" si="6"/>
        <v>124832</v>
      </c>
      <c r="F9" s="36">
        <f t="shared" si="1"/>
        <v>168900</v>
      </c>
      <c r="G9" s="35">
        <f t="shared" si="2"/>
        <v>22034</v>
      </c>
      <c r="H9" s="34">
        <f t="shared" ref="H9:H19" si="7">H8+3459+1</f>
        <v>146866</v>
      </c>
      <c r="I9" s="37">
        <v>0</v>
      </c>
      <c r="J9" s="37">
        <f t="shared" si="3"/>
        <v>168900</v>
      </c>
    </row>
    <row r="10" spans="1:10" x14ac:dyDescent="0.25">
      <c r="A10" s="32">
        <v>6</v>
      </c>
      <c r="B10" s="33">
        <f t="shared" si="5"/>
        <v>98215</v>
      </c>
      <c r="C10" s="34">
        <f t="shared" si="4"/>
        <v>173000</v>
      </c>
      <c r="D10" s="35">
        <f t="shared" si="0"/>
        <v>45350</v>
      </c>
      <c r="E10" s="34">
        <f t="shared" si="6"/>
        <v>127651</v>
      </c>
      <c r="F10" s="36">
        <f t="shared" si="1"/>
        <v>173000</v>
      </c>
      <c r="G10" s="35">
        <f t="shared" si="2"/>
        <v>22675</v>
      </c>
      <c r="H10" s="34">
        <f>H9+3459</f>
        <v>150325</v>
      </c>
      <c r="I10" s="37">
        <v>0</v>
      </c>
      <c r="J10" s="37">
        <f t="shared" si="3"/>
        <v>173000</v>
      </c>
    </row>
    <row r="11" spans="1:10" x14ac:dyDescent="0.25">
      <c r="A11" s="32">
        <v>7</v>
      </c>
      <c r="B11" s="33">
        <f t="shared" si="5"/>
        <v>100485</v>
      </c>
      <c r="C11" s="34">
        <f t="shared" si="4"/>
        <v>177100</v>
      </c>
      <c r="D11" s="35">
        <f t="shared" si="0"/>
        <v>46631</v>
      </c>
      <c r="E11" s="34">
        <f t="shared" si="6"/>
        <v>130470</v>
      </c>
      <c r="F11" s="36">
        <f t="shared" si="1"/>
        <v>177100</v>
      </c>
      <c r="G11" s="35">
        <f t="shared" si="2"/>
        <v>23315</v>
      </c>
      <c r="H11" s="34">
        <f t="shared" si="7"/>
        <v>153785</v>
      </c>
      <c r="I11" s="37">
        <v>0</v>
      </c>
      <c r="J11" s="37">
        <f t="shared" si="3"/>
        <v>177100</v>
      </c>
    </row>
    <row r="12" spans="1:10" x14ac:dyDescent="0.25">
      <c r="A12" s="32">
        <v>8</v>
      </c>
      <c r="B12" s="33">
        <f t="shared" si="5"/>
        <v>102755</v>
      </c>
      <c r="C12" s="34">
        <f t="shared" si="4"/>
        <v>181200</v>
      </c>
      <c r="D12" s="35">
        <f t="shared" si="0"/>
        <v>47912</v>
      </c>
      <c r="E12" s="34">
        <f t="shared" si="6"/>
        <v>133289</v>
      </c>
      <c r="F12" s="36">
        <f t="shared" si="1"/>
        <v>181200</v>
      </c>
      <c r="G12" s="35">
        <f t="shared" si="2"/>
        <v>23956</v>
      </c>
      <c r="H12" s="34">
        <f>H11+3459</f>
        <v>157244</v>
      </c>
      <c r="I12" s="37">
        <v>0</v>
      </c>
      <c r="J12" s="37">
        <f t="shared" si="3"/>
        <v>181200</v>
      </c>
    </row>
    <row r="13" spans="1:10" x14ac:dyDescent="0.25">
      <c r="A13" s="32">
        <v>9</v>
      </c>
      <c r="B13" s="33">
        <f t="shared" si="5"/>
        <v>105025</v>
      </c>
      <c r="C13" s="34">
        <f t="shared" si="4"/>
        <v>185300</v>
      </c>
      <c r="D13" s="35">
        <f t="shared" si="0"/>
        <v>49193</v>
      </c>
      <c r="E13" s="34">
        <f t="shared" si="6"/>
        <v>136108</v>
      </c>
      <c r="F13" s="36">
        <f t="shared" si="1"/>
        <v>185300</v>
      </c>
      <c r="G13" s="35">
        <f t="shared" si="2"/>
        <v>24596</v>
      </c>
      <c r="H13" s="34">
        <f t="shared" si="7"/>
        <v>160704</v>
      </c>
      <c r="I13" s="37">
        <v>0</v>
      </c>
      <c r="J13" s="37">
        <f t="shared" si="3"/>
        <v>185300</v>
      </c>
    </row>
    <row r="14" spans="1:10" x14ac:dyDescent="0.25">
      <c r="A14" s="32">
        <v>10</v>
      </c>
      <c r="B14" s="33">
        <f t="shared" si="5"/>
        <v>107295</v>
      </c>
      <c r="C14" s="34">
        <f t="shared" si="4"/>
        <v>189400</v>
      </c>
      <c r="D14" s="35">
        <f t="shared" si="0"/>
        <v>50474</v>
      </c>
      <c r="E14" s="34">
        <f t="shared" si="6"/>
        <v>138927</v>
      </c>
      <c r="F14" s="36">
        <f t="shared" si="1"/>
        <v>189400</v>
      </c>
      <c r="G14" s="35">
        <f t="shared" si="2"/>
        <v>25237</v>
      </c>
      <c r="H14" s="34">
        <f>H13+3459</f>
        <v>164163</v>
      </c>
      <c r="I14" s="37">
        <v>0</v>
      </c>
      <c r="J14" s="37">
        <f t="shared" si="3"/>
        <v>189400</v>
      </c>
    </row>
    <row r="15" spans="1:10" x14ac:dyDescent="0.25">
      <c r="A15" s="32">
        <v>11</v>
      </c>
      <c r="B15" s="33">
        <f t="shared" si="5"/>
        <v>109565</v>
      </c>
      <c r="C15" s="34">
        <f t="shared" si="4"/>
        <v>193500</v>
      </c>
      <c r="D15" s="35">
        <f t="shared" si="0"/>
        <v>51755</v>
      </c>
      <c r="E15" s="34">
        <f t="shared" si="6"/>
        <v>141746</v>
      </c>
      <c r="F15" s="36">
        <f t="shared" si="1"/>
        <v>193500</v>
      </c>
      <c r="G15" s="35">
        <f t="shared" si="2"/>
        <v>25877</v>
      </c>
      <c r="H15" s="34">
        <f t="shared" si="7"/>
        <v>167623</v>
      </c>
      <c r="I15" s="37">
        <v>0</v>
      </c>
      <c r="J15" s="37">
        <f t="shared" si="3"/>
        <v>193500</v>
      </c>
    </row>
    <row r="16" spans="1:10" x14ac:dyDescent="0.25">
      <c r="A16" s="32">
        <v>12</v>
      </c>
      <c r="B16" s="33">
        <f t="shared" si="5"/>
        <v>111835</v>
      </c>
      <c r="C16" s="34">
        <f t="shared" si="4"/>
        <v>197600</v>
      </c>
      <c r="D16" s="35">
        <f t="shared" si="0"/>
        <v>53036</v>
      </c>
      <c r="E16" s="34">
        <f t="shared" si="6"/>
        <v>144565</v>
      </c>
      <c r="F16" s="36">
        <f t="shared" si="1"/>
        <v>197600</v>
      </c>
      <c r="G16" s="35">
        <f t="shared" si="2"/>
        <v>26518</v>
      </c>
      <c r="H16" s="34">
        <f>H15+3459</f>
        <v>171082</v>
      </c>
      <c r="I16" s="37">
        <v>0</v>
      </c>
      <c r="J16" s="37">
        <f t="shared" si="3"/>
        <v>197600</v>
      </c>
    </row>
    <row r="17" spans="1:10" x14ac:dyDescent="0.25">
      <c r="A17" s="32">
        <v>13</v>
      </c>
      <c r="B17" s="33">
        <f t="shared" si="5"/>
        <v>114105</v>
      </c>
      <c r="C17" s="34">
        <f t="shared" si="4"/>
        <v>201700</v>
      </c>
      <c r="D17" s="35">
        <f t="shared" si="0"/>
        <v>54317</v>
      </c>
      <c r="E17" s="34">
        <f t="shared" si="6"/>
        <v>147384</v>
      </c>
      <c r="F17" s="36">
        <f t="shared" si="1"/>
        <v>201700</v>
      </c>
      <c r="G17" s="35">
        <f t="shared" si="2"/>
        <v>27158</v>
      </c>
      <c r="H17" s="34">
        <f t="shared" si="7"/>
        <v>174542</v>
      </c>
      <c r="I17" s="37">
        <v>0</v>
      </c>
      <c r="J17" s="37">
        <f t="shared" si="3"/>
        <v>201700</v>
      </c>
    </row>
    <row r="18" spans="1:10" x14ac:dyDescent="0.25">
      <c r="A18" s="32">
        <v>14</v>
      </c>
      <c r="B18" s="33">
        <f t="shared" si="5"/>
        <v>116375</v>
      </c>
      <c r="C18" s="34">
        <f t="shared" si="4"/>
        <v>205800</v>
      </c>
      <c r="D18" s="35">
        <f t="shared" si="0"/>
        <v>55598</v>
      </c>
      <c r="E18" s="34">
        <f t="shared" si="6"/>
        <v>150203</v>
      </c>
      <c r="F18" s="36">
        <f t="shared" si="1"/>
        <v>205800</v>
      </c>
      <c r="G18" s="35">
        <f t="shared" si="2"/>
        <v>27799</v>
      </c>
      <c r="H18" s="34">
        <f>H17+3459</f>
        <v>178001</v>
      </c>
      <c r="I18" s="37">
        <v>0</v>
      </c>
      <c r="J18" s="37">
        <f t="shared" si="3"/>
        <v>205800</v>
      </c>
    </row>
    <row r="19" spans="1:10" x14ac:dyDescent="0.25">
      <c r="A19" s="32">
        <v>15</v>
      </c>
      <c r="B19" s="33">
        <f t="shared" si="5"/>
        <v>118645</v>
      </c>
      <c r="C19" s="34">
        <f t="shared" si="4"/>
        <v>209900</v>
      </c>
      <c r="D19" s="35">
        <f t="shared" si="0"/>
        <v>56879</v>
      </c>
      <c r="E19" s="34">
        <f t="shared" si="6"/>
        <v>153022</v>
      </c>
      <c r="F19" s="36">
        <f t="shared" si="1"/>
        <v>209900</v>
      </c>
      <c r="G19" s="35">
        <f t="shared" si="2"/>
        <v>28439</v>
      </c>
      <c r="H19" s="34">
        <f t="shared" si="7"/>
        <v>181461</v>
      </c>
      <c r="I19" s="37">
        <v>0</v>
      </c>
      <c r="J19" s="37">
        <f t="shared" si="3"/>
        <v>209900</v>
      </c>
    </row>
    <row r="20" spans="1:10" ht="15.75" thickBot="1" x14ac:dyDescent="0.3">
      <c r="A20" s="38">
        <v>16</v>
      </c>
      <c r="B20" s="39">
        <f t="shared" si="5"/>
        <v>120915</v>
      </c>
      <c r="C20" s="40">
        <f t="shared" si="4"/>
        <v>214000</v>
      </c>
      <c r="D20" s="41">
        <f t="shared" si="0"/>
        <v>58160</v>
      </c>
      <c r="E20" s="40">
        <f t="shared" si="6"/>
        <v>155841</v>
      </c>
      <c r="F20" s="42">
        <f t="shared" si="1"/>
        <v>214000</v>
      </c>
      <c r="G20" s="41">
        <f t="shared" si="2"/>
        <v>29080</v>
      </c>
      <c r="H20" s="40">
        <f>H19+3459</f>
        <v>184920</v>
      </c>
      <c r="I20" s="43">
        <v>0</v>
      </c>
      <c r="J20" s="43">
        <f t="shared" si="3"/>
        <v>214000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17"/>
  <sheetViews>
    <sheetView workbookViewId="0">
      <selection activeCell="A5" sqref="A5:XFD17"/>
    </sheetView>
  </sheetViews>
  <sheetFormatPr defaultRowHeight="15" x14ac:dyDescent="0.25"/>
  <cols>
    <col min="2" max="10" width="15.140625" customWidth="1"/>
  </cols>
  <sheetData>
    <row r="1" spans="1:10" ht="23.25" x14ac:dyDescent="0.35">
      <c r="A1" s="47" t="s">
        <v>31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</v>
      </c>
      <c r="B5" s="28">
        <v>91645</v>
      </c>
      <c r="C5" s="29">
        <v>161140</v>
      </c>
      <c r="D5" s="28">
        <f>C5-E5+1</f>
        <v>41647</v>
      </c>
      <c r="E5" s="29">
        <v>119494</v>
      </c>
      <c r="F5" s="30">
        <f>C5</f>
        <v>161140</v>
      </c>
      <c r="G5" s="28">
        <f>F5-H5</f>
        <v>20823</v>
      </c>
      <c r="H5" s="29">
        <v>140317</v>
      </c>
      <c r="I5" s="31">
        <v>0</v>
      </c>
      <c r="J5" s="31">
        <f>F5</f>
        <v>161140</v>
      </c>
    </row>
    <row r="6" spans="1:10" x14ac:dyDescent="0.25">
      <c r="A6" s="32">
        <v>2</v>
      </c>
      <c r="B6" s="33">
        <v>94345</v>
      </c>
      <c r="C6" s="34">
        <f>C5+4850</f>
        <v>165990</v>
      </c>
      <c r="D6" s="35">
        <f t="shared" ref="D6:D17" si="0">C6-E6+1</f>
        <v>43152</v>
      </c>
      <c r="E6" s="34">
        <v>122839</v>
      </c>
      <c r="F6" s="36">
        <f t="shared" ref="F6:F17" si="1">C6</f>
        <v>165990</v>
      </c>
      <c r="G6" s="35">
        <f t="shared" ref="G6:G17" si="2">F6-H6</f>
        <v>21576</v>
      </c>
      <c r="H6" s="34">
        <v>144414</v>
      </c>
      <c r="I6" s="37">
        <v>0</v>
      </c>
      <c r="J6" s="37">
        <f t="shared" ref="J6:J17" si="3">F6</f>
        <v>165990</v>
      </c>
    </row>
    <row r="7" spans="1:10" x14ac:dyDescent="0.25">
      <c r="A7" s="32">
        <v>3</v>
      </c>
      <c r="B7" s="33">
        <f>B6+2700</f>
        <v>97045</v>
      </c>
      <c r="C7" s="34">
        <f t="shared" ref="C7:C17" si="4">C6+4850</f>
        <v>170840</v>
      </c>
      <c r="D7" s="35">
        <f t="shared" si="0"/>
        <v>44657</v>
      </c>
      <c r="E7" s="34">
        <f>E6+3345</f>
        <v>126184</v>
      </c>
      <c r="F7" s="36">
        <f t="shared" si="1"/>
        <v>170840</v>
      </c>
      <c r="G7" s="35">
        <f t="shared" si="2"/>
        <v>22328</v>
      </c>
      <c r="H7" s="34">
        <f>H6+4097+1</f>
        <v>148512</v>
      </c>
      <c r="I7" s="37">
        <v>0</v>
      </c>
      <c r="J7" s="37">
        <f t="shared" si="3"/>
        <v>170840</v>
      </c>
    </row>
    <row r="8" spans="1:10" x14ac:dyDescent="0.25">
      <c r="A8" s="32">
        <v>4</v>
      </c>
      <c r="B8" s="33">
        <f t="shared" ref="B8:B17" si="5">B7+2700</f>
        <v>99745</v>
      </c>
      <c r="C8" s="34">
        <f t="shared" si="4"/>
        <v>175690</v>
      </c>
      <c r="D8" s="35">
        <f t="shared" si="0"/>
        <v>46162</v>
      </c>
      <c r="E8" s="34">
        <f t="shared" ref="E8:E17" si="6">E7+3345</f>
        <v>129529</v>
      </c>
      <c r="F8" s="36">
        <f t="shared" si="1"/>
        <v>175690</v>
      </c>
      <c r="G8" s="35">
        <f t="shared" si="2"/>
        <v>23081</v>
      </c>
      <c r="H8" s="34">
        <f>H7+4097</f>
        <v>152609</v>
      </c>
      <c r="I8" s="37">
        <v>0</v>
      </c>
      <c r="J8" s="37">
        <f t="shared" si="3"/>
        <v>175690</v>
      </c>
    </row>
    <row r="9" spans="1:10" x14ac:dyDescent="0.25">
      <c r="A9" s="32">
        <v>5</v>
      </c>
      <c r="B9" s="33">
        <f t="shared" si="5"/>
        <v>102445</v>
      </c>
      <c r="C9" s="34">
        <f t="shared" si="4"/>
        <v>180540</v>
      </c>
      <c r="D9" s="35">
        <f t="shared" si="0"/>
        <v>47667</v>
      </c>
      <c r="E9" s="34">
        <f t="shared" si="6"/>
        <v>132874</v>
      </c>
      <c r="F9" s="36">
        <f t="shared" si="1"/>
        <v>180540</v>
      </c>
      <c r="G9" s="35">
        <f t="shared" si="2"/>
        <v>23833</v>
      </c>
      <c r="H9" s="34">
        <f t="shared" ref="H9:H17" si="7">H8+4097+1</f>
        <v>156707</v>
      </c>
      <c r="I9" s="37">
        <v>0</v>
      </c>
      <c r="J9" s="37">
        <f t="shared" si="3"/>
        <v>180540</v>
      </c>
    </row>
    <row r="10" spans="1:10" x14ac:dyDescent="0.25">
      <c r="A10" s="32">
        <v>6</v>
      </c>
      <c r="B10" s="33">
        <f t="shared" si="5"/>
        <v>105145</v>
      </c>
      <c r="C10" s="34">
        <f t="shared" si="4"/>
        <v>185390</v>
      </c>
      <c r="D10" s="35">
        <f t="shared" si="0"/>
        <v>49172</v>
      </c>
      <c r="E10" s="34">
        <f t="shared" si="6"/>
        <v>136219</v>
      </c>
      <c r="F10" s="36">
        <f t="shared" si="1"/>
        <v>185390</v>
      </c>
      <c r="G10" s="35">
        <f t="shared" si="2"/>
        <v>24586</v>
      </c>
      <c r="H10" s="34">
        <f>H9+4097</f>
        <v>160804</v>
      </c>
      <c r="I10" s="37">
        <v>0</v>
      </c>
      <c r="J10" s="37">
        <f t="shared" si="3"/>
        <v>185390</v>
      </c>
    </row>
    <row r="11" spans="1:10" x14ac:dyDescent="0.25">
      <c r="A11" s="32">
        <v>7</v>
      </c>
      <c r="B11" s="33">
        <f t="shared" si="5"/>
        <v>107845</v>
      </c>
      <c r="C11" s="34">
        <f t="shared" si="4"/>
        <v>190240</v>
      </c>
      <c r="D11" s="35">
        <f t="shared" si="0"/>
        <v>50677</v>
      </c>
      <c r="E11" s="34">
        <f t="shared" si="6"/>
        <v>139564</v>
      </c>
      <c r="F11" s="36">
        <f t="shared" si="1"/>
        <v>190240</v>
      </c>
      <c r="G11" s="35">
        <f t="shared" si="2"/>
        <v>25338</v>
      </c>
      <c r="H11" s="34">
        <f t="shared" si="7"/>
        <v>164902</v>
      </c>
      <c r="I11" s="37">
        <v>0</v>
      </c>
      <c r="J11" s="37">
        <f t="shared" si="3"/>
        <v>190240</v>
      </c>
    </row>
    <row r="12" spans="1:10" x14ac:dyDescent="0.25">
      <c r="A12" s="32">
        <v>8</v>
      </c>
      <c r="B12" s="33">
        <f t="shared" si="5"/>
        <v>110545</v>
      </c>
      <c r="C12" s="34">
        <f t="shared" si="4"/>
        <v>195090</v>
      </c>
      <c r="D12" s="35">
        <f t="shared" si="0"/>
        <v>52182</v>
      </c>
      <c r="E12" s="34">
        <f t="shared" si="6"/>
        <v>142909</v>
      </c>
      <c r="F12" s="36">
        <f t="shared" si="1"/>
        <v>195090</v>
      </c>
      <c r="G12" s="35">
        <f t="shared" si="2"/>
        <v>26091</v>
      </c>
      <c r="H12" s="34">
        <f>H11+4097</f>
        <v>168999</v>
      </c>
      <c r="I12" s="37">
        <v>0</v>
      </c>
      <c r="J12" s="37">
        <f t="shared" si="3"/>
        <v>195090</v>
      </c>
    </row>
    <row r="13" spans="1:10" x14ac:dyDescent="0.25">
      <c r="A13" s="32">
        <v>9</v>
      </c>
      <c r="B13" s="33">
        <f t="shared" si="5"/>
        <v>113245</v>
      </c>
      <c r="C13" s="34">
        <f t="shared" si="4"/>
        <v>199940</v>
      </c>
      <c r="D13" s="35">
        <f t="shared" si="0"/>
        <v>53687</v>
      </c>
      <c r="E13" s="34">
        <f t="shared" si="6"/>
        <v>146254</v>
      </c>
      <c r="F13" s="36">
        <f t="shared" si="1"/>
        <v>199940</v>
      </c>
      <c r="G13" s="35">
        <f t="shared" si="2"/>
        <v>26843</v>
      </c>
      <c r="H13" s="34">
        <f t="shared" si="7"/>
        <v>173097</v>
      </c>
      <c r="I13" s="37">
        <v>0</v>
      </c>
      <c r="J13" s="37">
        <f t="shared" si="3"/>
        <v>199940</v>
      </c>
    </row>
    <row r="14" spans="1:10" x14ac:dyDescent="0.25">
      <c r="A14" s="32">
        <v>10</v>
      </c>
      <c r="B14" s="33">
        <f t="shared" si="5"/>
        <v>115945</v>
      </c>
      <c r="C14" s="34">
        <f t="shared" si="4"/>
        <v>204790</v>
      </c>
      <c r="D14" s="35">
        <f t="shared" si="0"/>
        <v>55192</v>
      </c>
      <c r="E14" s="34">
        <f t="shared" si="6"/>
        <v>149599</v>
      </c>
      <c r="F14" s="36">
        <f t="shared" si="1"/>
        <v>204790</v>
      </c>
      <c r="G14" s="35">
        <f t="shared" si="2"/>
        <v>27596</v>
      </c>
      <c r="H14" s="34">
        <f>H13+4097</f>
        <v>177194</v>
      </c>
      <c r="I14" s="37">
        <v>0</v>
      </c>
      <c r="J14" s="37">
        <f t="shared" si="3"/>
        <v>204790</v>
      </c>
    </row>
    <row r="15" spans="1:10" x14ac:dyDescent="0.25">
      <c r="A15" s="32">
        <v>11</v>
      </c>
      <c r="B15" s="33">
        <f t="shared" si="5"/>
        <v>118645</v>
      </c>
      <c r="C15" s="34">
        <f t="shared" si="4"/>
        <v>209640</v>
      </c>
      <c r="D15" s="35">
        <f t="shared" si="0"/>
        <v>56697</v>
      </c>
      <c r="E15" s="34">
        <f t="shared" si="6"/>
        <v>152944</v>
      </c>
      <c r="F15" s="36">
        <f t="shared" si="1"/>
        <v>209640</v>
      </c>
      <c r="G15" s="35">
        <f t="shared" si="2"/>
        <v>28348</v>
      </c>
      <c r="H15" s="34">
        <f t="shared" si="7"/>
        <v>181292</v>
      </c>
      <c r="I15" s="37">
        <v>0</v>
      </c>
      <c r="J15" s="37">
        <f t="shared" si="3"/>
        <v>209640</v>
      </c>
    </row>
    <row r="16" spans="1:10" x14ac:dyDescent="0.25">
      <c r="A16" s="32">
        <v>12</v>
      </c>
      <c r="B16" s="33">
        <f t="shared" si="5"/>
        <v>121345</v>
      </c>
      <c r="C16" s="34">
        <f t="shared" si="4"/>
        <v>214490</v>
      </c>
      <c r="D16" s="35">
        <f t="shared" si="0"/>
        <v>58202</v>
      </c>
      <c r="E16" s="34">
        <f t="shared" si="6"/>
        <v>156289</v>
      </c>
      <c r="F16" s="36">
        <f t="shared" si="1"/>
        <v>214490</v>
      </c>
      <c r="G16" s="35">
        <f t="shared" si="2"/>
        <v>29101</v>
      </c>
      <c r="H16" s="34">
        <f>H15+4097</f>
        <v>185389</v>
      </c>
      <c r="I16" s="37">
        <v>0</v>
      </c>
      <c r="J16" s="37">
        <f t="shared" si="3"/>
        <v>214490</v>
      </c>
    </row>
    <row r="17" spans="1:10" ht="15.75" thickBot="1" x14ac:dyDescent="0.3">
      <c r="A17" s="38">
        <v>13</v>
      </c>
      <c r="B17" s="39">
        <f t="shared" si="5"/>
        <v>124045</v>
      </c>
      <c r="C17" s="40">
        <f t="shared" si="4"/>
        <v>219340</v>
      </c>
      <c r="D17" s="41">
        <f t="shared" si="0"/>
        <v>59707</v>
      </c>
      <c r="E17" s="40">
        <f t="shared" si="6"/>
        <v>159634</v>
      </c>
      <c r="F17" s="42">
        <f t="shared" si="1"/>
        <v>219340</v>
      </c>
      <c r="G17" s="41">
        <f t="shared" si="2"/>
        <v>29853</v>
      </c>
      <c r="H17" s="40">
        <f t="shared" si="7"/>
        <v>189487</v>
      </c>
      <c r="I17" s="43">
        <v>0</v>
      </c>
      <c r="J17" s="43">
        <f t="shared" si="3"/>
        <v>219340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17"/>
  <sheetViews>
    <sheetView workbookViewId="0">
      <selection activeCell="H17" sqref="H17"/>
    </sheetView>
  </sheetViews>
  <sheetFormatPr defaultRowHeight="15" x14ac:dyDescent="0.25"/>
  <cols>
    <col min="1" max="1" width="9" customWidth="1"/>
    <col min="2" max="10" width="14.5703125" customWidth="1"/>
  </cols>
  <sheetData>
    <row r="1" spans="1:10" ht="23.25" x14ac:dyDescent="0.35">
      <c r="A1" s="47" t="s">
        <v>32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5.75" thickBot="1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5.75" thickBot="1" x14ac:dyDescent="0.3">
      <c r="A3" s="52" t="s">
        <v>0</v>
      </c>
      <c r="B3" s="54" t="s">
        <v>7</v>
      </c>
      <c r="C3" s="48" t="s">
        <v>1</v>
      </c>
      <c r="D3" s="49"/>
      <c r="E3" s="50"/>
      <c r="F3" s="51" t="s">
        <v>2</v>
      </c>
      <c r="G3" s="49"/>
      <c r="H3" s="49"/>
      <c r="I3" s="45" t="s">
        <v>6</v>
      </c>
      <c r="J3" s="46"/>
    </row>
    <row r="4" spans="1:10" ht="30.75" thickBot="1" x14ac:dyDescent="0.3">
      <c r="A4" s="53"/>
      <c r="B4" s="55"/>
      <c r="C4" s="5" t="s">
        <v>8</v>
      </c>
      <c r="D4" s="6" t="s">
        <v>4</v>
      </c>
      <c r="E4" s="5" t="s">
        <v>5</v>
      </c>
      <c r="F4" s="7" t="s">
        <v>3</v>
      </c>
      <c r="G4" s="6" t="s">
        <v>4</v>
      </c>
      <c r="H4" s="5" t="s">
        <v>5</v>
      </c>
      <c r="I4" s="8" t="s">
        <v>4</v>
      </c>
      <c r="J4" s="8" t="s">
        <v>5</v>
      </c>
    </row>
    <row r="5" spans="1:10" x14ac:dyDescent="0.25">
      <c r="A5" s="27">
        <v>1</v>
      </c>
      <c r="B5" s="28">
        <v>98215</v>
      </c>
      <c r="C5" s="29">
        <v>173000</v>
      </c>
      <c r="D5" s="28">
        <f>C5-E5+1</f>
        <v>45350</v>
      </c>
      <c r="E5" s="29">
        <v>127651</v>
      </c>
      <c r="F5" s="30">
        <f>C5</f>
        <v>173000</v>
      </c>
      <c r="G5" s="28">
        <f>F5-H5</f>
        <v>22675</v>
      </c>
      <c r="H5" s="29">
        <v>150325</v>
      </c>
      <c r="I5" s="31">
        <v>0</v>
      </c>
      <c r="J5" s="31">
        <f>F5</f>
        <v>173000</v>
      </c>
    </row>
    <row r="6" spans="1:10" x14ac:dyDescent="0.25">
      <c r="A6" s="32">
        <v>2</v>
      </c>
      <c r="B6" s="33">
        <v>100915</v>
      </c>
      <c r="C6" s="34">
        <f>C5+4850</f>
        <v>177850</v>
      </c>
      <c r="D6" s="35">
        <f t="shared" ref="D6:D17" si="0">C6-E6+1</f>
        <v>46855</v>
      </c>
      <c r="E6" s="34">
        <v>130996</v>
      </c>
      <c r="F6" s="36">
        <f t="shared" ref="F6:F17" si="1">C6</f>
        <v>177850</v>
      </c>
      <c r="G6" s="35">
        <f t="shared" ref="G6:G17" si="2">F6-H6</f>
        <v>23427</v>
      </c>
      <c r="H6" s="34">
        <v>154423</v>
      </c>
      <c r="I6" s="37">
        <v>0</v>
      </c>
      <c r="J6" s="37">
        <f t="shared" ref="J6:J17" si="3">F6</f>
        <v>177850</v>
      </c>
    </row>
    <row r="7" spans="1:10" x14ac:dyDescent="0.25">
      <c r="A7" s="32">
        <v>3</v>
      </c>
      <c r="B7" s="33">
        <f>B6+2700</f>
        <v>103615</v>
      </c>
      <c r="C7" s="34">
        <f t="shared" ref="C7:C17" si="4">C6+4850</f>
        <v>182700</v>
      </c>
      <c r="D7" s="35">
        <f t="shared" si="0"/>
        <v>48360</v>
      </c>
      <c r="E7" s="34">
        <f>E6+3345</f>
        <v>134341</v>
      </c>
      <c r="F7" s="36">
        <f t="shared" si="1"/>
        <v>182700</v>
      </c>
      <c r="G7" s="35">
        <f t="shared" si="2"/>
        <v>24180</v>
      </c>
      <c r="H7" s="34">
        <f>H6+4098-1</f>
        <v>158520</v>
      </c>
      <c r="I7" s="37">
        <v>0</v>
      </c>
      <c r="J7" s="37">
        <f t="shared" si="3"/>
        <v>182700</v>
      </c>
    </row>
    <row r="8" spans="1:10" x14ac:dyDescent="0.25">
      <c r="A8" s="32">
        <v>4</v>
      </c>
      <c r="B8" s="33">
        <f t="shared" ref="B8:B17" si="5">B7+2700</f>
        <v>106315</v>
      </c>
      <c r="C8" s="34">
        <f t="shared" si="4"/>
        <v>187550</v>
      </c>
      <c r="D8" s="35">
        <f t="shared" si="0"/>
        <v>49865</v>
      </c>
      <c r="E8" s="34">
        <f t="shared" ref="E8:E17" si="6">E7+3345</f>
        <v>137686</v>
      </c>
      <c r="F8" s="36">
        <f t="shared" si="1"/>
        <v>187550</v>
      </c>
      <c r="G8" s="35">
        <f t="shared" si="2"/>
        <v>24932</v>
      </c>
      <c r="H8" s="34">
        <f t="shared" ref="H8" si="7">H7+4098</f>
        <v>162618</v>
      </c>
      <c r="I8" s="37">
        <v>0</v>
      </c>
      <c r="J8" s="37">
        <f t="shared" si="3"/>
        <v>187550</v>
      </c>
    </row>
    <row r="9" spans="1:10" x14ac:dyDescent="0.25">
      <c r="A9" s="32">
        <v>5</v>
      </c>
      <c r="B9" s="33">
        <f t="shared" si="5"/>
        <v>109015</v>
      </c>
      <c r="C9" s="34">
        <f t="shared" si="4"/>
        <v>192400</v>
      </c>
      <c r="D9" s="35">
        <f t="shared" si="0"/>
        <v>51370</v>
      </c>
      <c r="E9" s="34">
        <f t="shared" si="6"/>
        <v>141031</v>
      </c>
      <c r="F9" s="36">
        <f t="shared" si="1"/>
        <v>192400</v>
      </c>
      <c r="G9" s="35">
        <f t="shared" si="2"/>
        <v>25685</v>
      </c>
      <c r="H9" s="34">
        <f>H8+4098-1</f>
        <v>166715</v>
      </c>
      <c r="I9" s="37">
        <v>0</v>
      </c>
      <c r="J9" s="37">
        <f t="shared" si="3"/>
        <v>192400</v>
      </c>
    </row>
    <row r="10" spans="1:10" x14ac:dyDescent="0.25">
      <c r="A10" s="32">
        <v>6</v>
      </c>
      <c r="B10" s="33">
        <f t="shared" si="5"/>
        <v>111715</v>
      </c>
      <c r="C10" s="34">
        <f t="shared" si="4"/>
        <v>197250</v>
      </c>
      <c r="D10" s="35">
        <f t="shared" si="0"/>
        <v>52875</v>
      </c>
      <c r="E10" s="34">
        <f t="shared" si="6"/>
        <v>144376</v>
      </c>
      <c r="F10" s="36">
        <f t="shared" si="1"/>
        <v>197250</v>
      </c>
      <c r="G10" s="35">
        <f t="shared" si="2"/>
        <v>26437</v>
      </c>
      <c r="H10" s="34">
        <f>H9+4098</f>
        <v>170813</v>
      </c>
      <c r="I10" s="37">
        <v>0</v>
      </c>
      <c r="J10" s="37">
        <f t="shared" si="3"/>
        <v>197250</v>
      </c>
    </row>
    <row r="11" spans="1:10" x14ac:dyDescent="0.25">
      <c r="A11" s="32">
        <v>7</v>
      </c>
      <c r="B11" s="33">
        <f t="shared" si="5"/>
        <v>114415</v>
      </c>
      <c r="C11" s="34">
        <f t="shared" si="4"/>
        <v>202100</v>
      </c>
      <c r="D11" s="35">
        <f t="shared" si="0"/>
        <v>54380</v>
      </c>
      <c r="E11" s="34">
        <f t="shared" si="6"/>
        <v>147721</v>
      </c>
      <c r="F11" s="36">
        <f t="shared" si="1"/>
        <v>202100</v>
      </c>
      <c r="G11" s="35">
        <f t="shared" si="2"/>
        <v>27190</v>
      </c>
      <c r="H11" s="34">
        <f>H10+4098-1</f>
        <v>174910</v>
      </c>
      <c r="I11" s="37">
        <v>0</v>
      </c>
      <c r="J11" s="37">
        <f t="shared" si="3"/>
        <v>202100</v>
      </c>
    </row>
    <row r="12" spans="1:10" x14ac:dyDescent="0.25">
      <c r="A12" s="32">
        <v>8</v>
      </c>
      <c r="B12" s="33">
        <f t="shared" si="5"/>
        <v>117115</v>
      </c>
      <c r="C12" s="34">
        <f t="shared" si="4"/>
        <v>206950</v>
      </c>
      <c r="D12" s="35">
        <f t="shared" si="0"/>
        <v>55885</v>
      </c>
      <c r="E12" s="34">
        <f t="shared" si="6"/>
        <v>151066</v>
      </c>
      <c r="F12" s="36">
        <f t="shared" si="1"/>
        <v>206950</v>
      </c>
      <c r="G12" s="35">
        <f t="shared" si="2"/>
        <v>27942</v>
      </c>
      <c r="H12" s="34">
        <f>H11+4098</f>
        <v>179008</v>
      </c>
      <c r="I12" s="37">
        <v>0</v>
      </c>
      <c r="J12" s="37">
        <f t="shared" si="3"/>
        <v>206950</v>
      </c>
    </row>
    <row r="13" spans="1:10" x14ac:dyDescent="0.25">
      <c r="A13" s="32">
        <v>9</v>
      </c>
      <c r="B13" s="33">
        <f t="shared" si="5"/>
        <v>119815</v>
      </c>
      <c r="C13" s="34">
        <f t="shared" si="4"/>
        <v>211800</v>
      </c>
      <c r="D13" s="35">
        <f t="shared" si="0"/>
        <v>57390</v>
      </c>
      <c r="E13" s="34">
        <f t="shared" si="6"/>
        <v>154411</v>
      </c>
      <c r="F13" s="36">
        <f t="shared" si="1"/>
        <v>211800</v>
      </c>
      <c r="G13" s="35">
        <f t="shared" si="2"/>
        <v>28695</v>
      </c>
      <c r="H13" s="34">
        <f>H12+4098-1</f>
        <v>183105</v>
      </c>
      <c r="I13" s="37">
        <v>0</v>
      </c>
      <c r="J13" s="37">
        <f t="shared" si="3"/>
        <v>211800</v>
      </c>
    </row>
    <row r="14" spans="1:10" x14ac:dyDescent="0.25">
      <c r="A14" s="32">
        <v>10</v>
      </c>
      <c r="B14" s="33">
        <f t="shared" si="5"/>
        <v>122515</v>
      </c>
      <c r="C14" s="34">
        <f t="shared" si="4"/>
        <v>216650</v>
      </c>
      <c r="D14" s="35">
        <f t="shared" si="0"/>
        <v>58895</v>
      </c>
      <c r="E14" s="34">
        <f t="shared" si="6"/>
        <v>157756</v>
      </c>
      <c r="F14" s="36">
        <f t="shared" si="1"/>
        <v>216650</v>
      </c>
      <c r="G14" s="35">
        <f t="shared" si="2"/>
        <v>29447</v>
      </c>
      <c r="H14" s="34">
        <f>H13+4098</f>
        <v>187203</v>
      </c>
      <c r="I14" s="37">
        <v>0</v>
      </c>
      <c r="J14" s="37">
        <f t="shared" si="3"/>
        <v>216650</v>
      </c>
    </row>
    <row r="15" spans="1:10" x14ac:dyDescent="0.25">
      <c r="A15" s="32">
        <v>11</v>
      </c>
      <c r="B15" s="33">
        <f t="shared" si="5"/>
        <v>125215</v>
      </c>
      <c r="C15" s="34">
        <f t="shared" si="4"/>
        <v>221500</v>
      </c>
      <c r="D15" s="35">
        <f t="shared" si="0"/>
        <v>60400</v>
      </c>
      <c r="E15" s="34">
        <f t="shared" si="6"/>
        <v>161101</v>
      </c>
      <c r="F15" s="36">
        <f t="shared" si="1"/>
        <v>221500</v>
      </c>
      <c r="G15" s="35">
        <f t="shared" si="2"/>
        <v>30200</v>
      </c>
      <c r="H15" s="34">
        <f>H14+4098-1</f>
        <v>191300</v>
      </c>
      <c r="I15" s="37">
        <v>0</v>
      </c>
      <c r="J15" s="37">
        <f t="shared" si="3"/>
        <v>221500</v>
      </c>
    </row>
    <row r="16" spans="1:10" x14ac:dyDescent="0.25">
      <c r="A16" s="32">
        <v>12</v>
      </c>
      <c r="B16" s="33">
        <f t="shared" si="5"/>
        <v>127915</v>
      </c>
      <c r="C16" s="34">
        <f t="shared" si="4"/>
        <v>226350</v>
      </c>
      <c r="D16" s="35">
        <f t="shared" si="0"/>
        <v>61905</v>
      </c>
      <c r="E16" s="34">
        <f t="shared" si="6"/>
        <v>164446</v>
      </c>
      <c r="F16" s="36">
        <f t="shared" si="1"/>
        <v>226350</v>
      </c>
      <c r="G16" s="35">
        <f t="shared" si="2"/>
        <v>30952</v>
      </c>
      <c r="H16" s="34">
        <f>H15+4098</f>
        <v>195398</v>
      </c>
      <c r="I16" s="37">
        <v>0</v>
      </c>
      <c r="J16" s="37">
        <f t="shared" si="3"/>
        <v>226350</v>
      </c>
    </row>
    <row r="17" spans="1:10" ht="15.75" thickBot="1" x14ac:dyDescent="0.3">
      <c r="A17" s="38">
        <v>13</v>
      </c>
      <c r="B17" s="39">
        <f t="shared" si="5"/>
        <v>130615</v>
      </c>
      <c r="C17" s="40">
        <f t="shared" si="4"/>
        <v>231200</v>
      </c>
      <c r="D17" s="41">
        <f t="shared" si="0"/>
        <v>63410</v>
      </c>
      <c r="E17" s="40">
        <f t="shared" si="6"/>
        <v>167791</v>
      </c>
      <c r="F17" s="42">
        <f t="shared" si="1"/>
        <v>231200</v>
      </c>
      <c r="G17" s="41">
        <f t="shared" si="2"/>
        <v>31705</v>
      </c>
      <c r="H17" s="40">
        <f>H16+4098-1</f>
        <v>199495</v>
      </c>
      <c r="I17" s="43">
        <v>0</v>
      </c>
      <c r="J17" s="43">
        <f t="shared" si="3"/>
        <v>231200</v>
      </c>
    </row>
  </sheetData>
  <mergeCells count="6">
    <mergeCell ref="A1:J1"/>
    <mergeCell ref="A3:A4"/>
    <mergeCell ref="B3:B4"/>
    <mergeCell ref="C3:E3"/>
    <mergeCell ref="F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PL 1 -2025- G III</vt:lpstr>
      <vt:lpstr>PL  1 -2025- G II</vt:lpstr>
      <vt:lpstr>PL 1 -2025- G I</vt:lpstr>
      <vt:lpstr>PL 2 -2025- G III</vt:lpstr>
      <vt:lpstr>PL 2 -2025- G II</vt:lpstr>
      <vt:lpstr>PL 2 -2025- G I</vt:lpstr>
      <vt:lpstr>PL 3 -2025 - G III</vt:lpstr>
      <vt:lpstr>PL 3 -2025- G II</vt:lpstr>
      <vt:lpstr>PL 3 -2025- G I</vt:lpstr>
      <vt:lpstr>MA 1 - 1- G II</vt:lpstr>
      <vt:lpstr>MA 2 -2-G III</vt:lpstr>
      <vt:lpstr>MA 2 -2-G II</vt:lpstr>
      <vt:lpstr>MA 2 -2-G I</vt:lpstr>
      <vt:lpstr>MA 1-2-G III</vt:lpstr>
      <vt:lpstr>MA1-2 G II</vt:lpstr>
      <vt:lpstr>MA 1-2-G I</vt:lpstr>
      <vt:lpstr>JM 1-2-G II</vt:lpstr>
      <vt:lpstr>JM 1-2-G I</vt:lpstr>
      <vt:lpstr>MM 1-1-G II</vt:lpstr>
      <vt:lpstr>MM 1-1-G I</vt:lpstr>
      <vt:lpstr>HM-1-1</vt:lpstr>
      <vt:lpstr>HM1-3</vt:lpstr>
      <vt:lpstr>HM 2-1</vt:lpstr>
      <vt:lpstr>HM 2-3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Erandi Mendis</dc:creator>
  <cp:lastModifiedBy>Shantha Kumarasinghe</cp:lastModifiedBy>
  <dcterms:created xsi:type="dcterms:W3CDTF">2025-11-26T03:50:54Z</dcterms:created>
  <dcterms:modified xsi:type="dcterms:W3CDTF">2025-12-11T11:19:19Z</dcterms:modified>
</cp:coreProperties>
</file>